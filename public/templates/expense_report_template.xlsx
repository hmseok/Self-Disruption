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ominseok/업무폴더/영수증마감/26년02월/"/>
    </mc:Choice>
  </mc:AlternateContent>
  <xr:revisionPtr revIDLastSave="0" documentId="13_ncr:1_{9A6E3DDC-8028-3F48-AF98-F95B480CD8E8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작성법" sheetId="8" state="hidden" r:id="rId1"/>
    <sheet name="경비요청서_Care" sheetId="7" state="hidden" r:id="rId2"/>
    <sheet name="법인 지출내역서" sheetId="12" r:id="rId3"/>
    <sheet name="개인경비 지급요청서" sheetId="13" r:id="rId4"/>
    <sheet name="승인권자" sheetId="15" r:id="rId5"/>
  </sheets>
  <definedNames>
    <definedName name="_xlnm.Print_Area" localSheetId="3">'개인경비 지급요청서'!$A$1:$G$34</definedName>
    <definedName name="_xlnm.Print_Area" localSheetId="2">'법인 지출내역서'!$A$1:$H$41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3" l="1"/>
  <c r="G2" i="12"/>
  <c r="D29" i="7"/>
  <c r="D28" i="7"/>
  <c r="E25" i="7"/>
  <c r="E23" i="7"/>
  <c r="E22" i="7"/>
  <c r="E21" i="7"/>
  <c r="E20" i="7"/>
  <c r="E19" i="7"/>
  <c r="E18" i="7"/>
  <c r="E17" i="7"/>
  <c r="E16" i="7"/>
  <c r="B16" i="7"/>
  <c r="E15" i="7"/>
  <c r="B15" i="7"/>
  <c r="E14" i="7"/>
  <c r="B14" i="7"/>
  <c r="E13" i="7"/>
  <c r="B13" i="7"/>
  <c r="E12" i="7"/>
  <c r="B12" i="7"/>
  <c r="E11" i="7"/>
  <c r="B11" i="7"/>
  <c r="E10" i="7"/>
  <c r="C10" i="7"/>
  <c r="B10" i="7"/>
  <c r="E9" i="7"/>
  <c r="C9" i="7"/>
  <c r="B9" i="7"/>
  <c r="A8" i="7"/>
  <c r="E7" i="7"/>
  <c r="D7" i="7"/>
  <c r="C7" i="7"/>
  <c r="B6" i="7"/>
  <c r="B4" i="7"/>
  <c r="B3" i="7"/>
  <c r="B8" i="8"/>
  <c r="B7" i="8"/>
  <c r="B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tc={1A31271A-F255-462F-A2F8-C8FCD2099CCF}</author>
    <author>tc={8AE6777D-F2C1-463C-B5F1-13964D780F1E}</author>
    <author>tc={AF106BB4-AD24-47DE-ADC0-3FCBB73F69CF}</author>
    <author>tc={15ED5140-C0AF-4C21-B4FD-22D5A44B8939}</author>
    <author>tc={A33F01F2-12FC-4055-933B-47ABA829D469}</author>
    <author>tc={6E46A4F5-284B-47E0-87BE-C93A7D0F897D}</author>
    <author>tc={D2AD80DB-4C84-4CDF-82E8-227023D0FA7F}</author>
    <author>tc={6CE783FF-CCB7-4C4F-93D1-E7DD6FCA7FEB}</author>
    <author>tc={E9F37953-73AA-4AA5-8464-9508F4398D6A}</author>
  </authors>
  <commentList>
    <comment ref="E3" authorId="0" shapeId="0" xr:uid="{00000000-0006-0000-01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승인권자 성명 입력요망</t>
      </text>
    </comment>
    <comment ref="E4" authorId="1" shapeId="0" xr:uid="{00000000-0006-0000-0100-00000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승인권자 성명 입력요망</t>
      </text>
    </comment>
    <comment ref="E5" authorId="2" shapeId="0" xr:uid="{00000000-0006-0000-0100-00000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승인권자 성명 입력요망</t>
      </text>
    </comment>
    <comment ref="E6" authorId="3" shapeId="0" xr:uid="{00000000-0006-0000-0100-00000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승인권자 성명 입력요망</t>
      </text>
    </comment>
    <comment ref="A8" authorId="4" shapeId="0" xr:uid="{00000000-0006-0000-0100-00000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비용계정탭에서 참조. 개인/팀별 조정하여 사용가능</t>
      </text>
    </comment>
    <comment ref="B8" authorId="5" shapeId="0" xr:uid="{00000000-0006-0000-0100-00000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자동표기됨</t>
      </text>
    </comment>
    <comment ref="C8" authorId="6" shapeId="0" xr:uid="{00000000-0006-0000-0100-00000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비용 계정별 지급요청기간(30일) 발생총액 표기</t>
      </text>
    </comment>
    <comment ref="A14" authorId="7" shapeId="0" xr:uid="{00000000-0006-0000-0100-00000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주유비/통행료 등</t>
      </text>
    </comment>
    <comment ref="A15" authorId="8" shapeId="0" xr:uid="{00000000-0006-0000-0100-00000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주유비/통행료 등</t>
      </text>
    </comment>
  </commentList>
</comments>
</file>

<file path=xl/sharedStrings.xml><?xml version="1.0" encoding="utf-8"?>
<sst xmlns="http://schemas.openxmlformats.org/spreadsheetml/2006/main" count="317" uniqueCount="151">
  <si>
    <t>BU 사업부</t>
    <phoneticPr fontId="1" type="noConversion"/>
  </si>
  <si>
    <t>Division 부서</t>
    <phoneticPr fontId="1" type="noConversion"/>
  </si>
  <si>
    <t>CEO</t>
    <phoneticPr fontId="3" type="noConversion"/>
  </si>
  <si>
    <t>Care</t>
    <phoneticPr fontId="3" type="noConversion"/>
  </si>
  <si>
    <t>On</t>
  </si>
  <si>
    <t>일반업무_ 교통비(대중교통)</t>
  </si>
  <si>
    <t>일반업무_차량유지비</t>
  </si>
  <si>
    <t>일반경비 지급요청서</t>
    <phoneticPr fontId="1" type="noConversion"/>
  </si>
  <si>
    <t>요청자</t>
    <phoneticPr fontId="1" type="noConversion"/>
  </si>
  <si>
    <t>1차 승인자(팀장)</t>
    <phoneticPr fontId="1" type="noConversion"/>
  </si>
  <si>
    <t>2차 승인자(부서장)</t>
    <phoneticPr fontId="1" type="noConversion"/>
  </si>
  <si>
    <t>3차 승인자(임원)</t>
    <phoneticPr fontId="1" type="noConversion"/>
  </si>
  <si>
    <t>4차 승인자(CEO)</t>
    <phoneticPr fontId="1" type="noConversion"/>
  </si>
  <si>
    <t>날짜</t>
    <phoneticPr fontId="1" type="noConversion"/>
  </si>
  <si>
    <t>공급가액</t>
    <phoneticPr fontId="1" type="noConversion"/>
  </si>
  <si>
    <t>부가세</t>
    <phoneticPr fontId="1" type="noConversion"/>
  </si>
  <si>
    <t>총금액</t>
    <phoneticPr fontId="1" type="noConversion"/>
  </si>
  <si>
    <t>식비</t>
  </si>
  <si>
    <t>식비</t>
    <phoneticPr fontId="1" type="noConversion"/>
  </si>
  <si>
    <t>회식비</t>
  </si>
  <si>
    <t>Local trip(국내출장-숙박/교통/식비)</t>
  </si>
  <si>
    <t>접대비</t>
  </si>
  <si>
    <t>COS_부품</t>
  </si>
  <si>
    <t>월 지출합계내역</t>
    <phoneticPr fontId="1" type="noConversion"/>
  </si>
  <si>
    <t>석호민</t>
    <phoneticPr fontId="1" type="noConversion"/>
  </si>
  <si>
    <t>요청일자</t>
    <phoneticPr fontId="1" type="noConversion"/>
  </si>
  <si>
    <t>&lt;=입력셀</t>
    <phoneticPr fontId="1" type="noConversion"/>
  </si>
  <si>
    <t>비용청구자 성명 입력</t>
    <phoneticPr fontId="1" type="noConversion"/>
  </si>
  <si>
    <t>개인별로 자주 사용하는 계정만 표기가능</t>
    <phoneticPr fontId="1" type="noConversion"/>
  </si>
  <si>
    <t>&lt;작성법&gt;</t>
    <phoneticPr fontId="1" type="noConversion"/>
  </si>
  <si>
    <t>지급승인규정 Approval matrix</t>
    <phoneticPr fontId="3" type="noConversion"/>
  </si>
  <si>
    <t>적용일자 effective date: Mar.20, 2024(공문배포일)</t>
    <phoneticPr fontId="3" type="noConversion"/>
  </si>
  <si>
    <t>직접비( 사고수리/법정검사/순회정비/이벤트진행비 등)</t>
    <phoneticPr fontId="3" type="noConversion"/>
  </si>
  <si>
    <t>승인절차</t>
    <phoneticPr fontId="3" type="noConversion"/>
  </si>
  <si>
    <t>승인자</t>
    <phoneticPr fontId="3" type="noConversion"/>
  </si>
  <si>
    <t>사업부 공통</t>
    <phoneticPr fontId="3" type="noConversion"/>
  </si>
  <si>
    <t>4차 승인</t>
    <phoneticPr fontId="3" type="noConversion"/>
  </si>
  <si>
    <t>Peter(이민철)*</t>
    <phoneticPr fontId="3" type="noConversion"/>
  </si>
  <si>
    <t>2백만원 이상</t>
    <phoneticPr fontId="3" type="noConversion"/>
  </si>
  <si>
    <t>1백만원 이상</t>
    <phoneticPr fontId="3" type="noConversion"/>
  </si>
  <si>
    <t>3차 승인</t>
    <phoneticPr fontId="3" type="noConversion"/>
  </si>
  <si>
    <t>1백만원 ~ 2백만원</t>
    <phoneticPr fontId="3" type="noConversion"/>
  </si>
  <si>
    <t>10만원 ~ 1백만원</t>
    <phoneticPr fontId="3" type="noConversion"/>
  </si>
  <si>
    <t>2차 승인</t>
    <phoneticPr fontId="3" type="noConversion"/>
  </si>
  <si>
    <t>부서장</t>
    <phoneticPr fontId="3" type="noConversion"/>
  </si>
  <si>
    <t>10만원 미만</t>
  </si>
  <si>
    <t>1차 승인</t>
    <phoneticPr fontId="3" type="noConversion"/>
  </si>
  <si>
    <t>팀장</t>
    <phoneticPr fontId="3" type="noConversion"/>
  </si>
  <si>
    <t>10만원 미만</t>
    <phoneticPr fontId="3" type="noConversion"/>
  </si>
  <si>
    <t>* Peter승인이 필요한 금액인 경우, Peter를 승인자 및 열람자로 동시 설정</t>
    <phoneticPr fontId="3" type="noConversion"/>
  </si>
  <si>
    <t>1백만원 미만</t>
  </si>
  <si>
    <t>엘레나(박채린)</t>
    <phoneticPr fontId="3" type="noConversion"/>
  </si>
  <si>
    <t>조이(김주희)</t>
    <phoneticPr fontId="3" type="noConversion"/>
  </si>
  <si>
    <t>비비안(황선빈)</t>
    <phoneticPr fontId="3" type="noConversion"/>
  </si>
  <si>
    <t>Acct code 
계정코드</t>
    <phoneticPr fontId="1" type="noConversion"/>
  </si>
  <si>
    <t>접대비 상세내역</t>
    <phoneticPr fontId="1" type="noConversion"/>
  </si>
  <si>
    <t>고객회사</t>
    <phoneticPr fontId="1" type="noConversion"/>
  </si>
  <si>
    <t>고객명</t>
    <phoneticPr fontId="1" type="noConversion"/>
  </si>
  <si>
    <t>금액</t>
    <phoneticPr fontId="1" type="noConversion"/>
  </si>
  <si>
    <t>접대목적</t>
    <phoneticPr fontId="1" type="noConversion"/>
  </si>
  <si>
    <t>비용별/금액별 "4)승인권자"탭을 참조.부서별 승인자 성명 입력</t>
    <phoneticPr fontId="1" type="noConversion"/>
  </si>
  <si>
    <t>COS_순회정비차 유지비</t>
  </si>
  <si>
    <t>회식비</t>
    <phoneticPr fontId="1" type="noConversion"/>
  </si>
  <si>
    <t>접대비</t>
    <phoneticPr fontId="1" type="noConversion"/>
  </si>
  <si>
    <t>하단에 있는 필수정보 제출: 목적, 고객회사명/고객명</t>
    <phoneticPr fontId="1" type="noConversion"/>
  </si>
  <si>
    <t>영수증에 개개인 명단 표기:예) 임성민/석호민/정태영</t>
    <phoneticPr fontId="1" type="noConversion"/>
  </si>
  <si>
    <t>영수증에 개개인 명단 표기:예) 엄태연/정혜민/김동길</t>
    <phoneticPr fontId="1" type="noConversion"/>
  </si>
  <si>
    <t>제출기한</t>
    <phoneticPr fontId="1" type="noConversion"/>
  </si>
  <si>
    <t>15일/ 25일</t>
    <phoneticPr fontId="1" type="noConversion"/>
  </si>
  <si>
    <t>계좌번호</t>
    <phoneticPr fontId="1" type="noConversion"/>
  </si>
  <si>
    <t>하나</t>
    <phoneticPr fontId="1" type="noConversion"/>
  </si>
  <si>
    <t>123-456-7890</t>
    <phoneticPr fontId="1" type="noConversion"/>
  </si>
  <si>
    <t>지급요청일(택일)</t>
    <phoneticPr fontId="1" type="noConversion"/>
  </si>
  <si>
    <t>경비지급요청일</t>
    <phoneticPr fontId="1" type="noConversion"/>
  </si>
  <si>
    <t>계좌정보</t>
    <phoneticPr fontId="1" type="noConversion"/>
  </si>
  <si>
    <t>겹쳐지지않게 하나씩 부착(풀을 사용하여 네군데 모서리 부착)</t>
    <phoneticPr fontId="1" type="noConversion"/>
  </si>
  <si>
    <t>영수증 첨부</t>
    <phoneticPr fontId="1" type="noConversion"/>
  </si>
  <si>
    <t>매월 25일마감후 경영지원본부에 제출</t>
    <phoneticPr fontId="1" type="noConversion"/>
  </si>
  <si>
    <t>고정값</t>
    <phoneticPr fontId="1" type="noConversion"/>
  </si>
  <si>
    <t>다음달 15일/25일중 택일(고정값 선택)</t>
    <phoneticPr fontId="1" type="noConversion"/>
  </si>
  <si>
    <t>고객명/팀원</t>
    <phoneticPr fontId="1" type="noConversion"/>
  </si>
  <si>
    <t>Product/Now</t>
    <phoneticPr fontId="1" type="noConversion"/>
  </si>
  <si>
    <t>ENM</t>
    <phoneticPr fontId="3" type="noConversion"/>
  </si>
  <si>
    <t>Contents</t>
    <phoneticPr fontId="1" type="noConversion"/>
  </si>
  <si>
    <t>엘리(정예지)</t>
    <phoneticPr fontId="1" type="noConversion"/>
  </si>
  <si>
    <t>ellie@rideoffice.kr</t>
    <phoneticPr fontId="3" type="noConversion"/>
  </si>
  <si>
    <t>jhkim@rideoffice.kr</t>
    <phoneticPr fontId="3" type="noConversion"/>
  </si>
  <si>
    <t>sunbeen.hwang@rideoffice.kr</t>
    <phoneticPr fontId="3" type="noConversion"/>
  </si>
  <si>
    <t>chaerin.pak@rideoffice.kr</t>
    <phoneticPr fontId="3" type="noConversion"/>
  </si>
  <si>
    <t>** 접대비와 고정자산은 사전승인 필</t>
    <phoneticPr fontId="3" type="noConversion"/>
  </si>
  <si>
    <t>*** 회사 공통경비는 고정자산 규정에 따름</t>
    <phoneticPr fontId="3" type="noConversion"/>
  </si>
  <si>
    <t>열람자</t>
    <phoneticPr fontId="1" type="noConversion"/>
  </si>
  <si>
    <t>기안자</t>
    <phoneticPr fontId="1" type="noConversion"/>
  </si>
  <si>
    <t>부서장</t>
    <phoneticPr fontId="1" type="noConversion"/>
  </si>
  <si>
    <t>결재선</t>
    <phoneticPr fontId="1" type="noConversion"/>
  </si>
  <si>
    <t>팀장</t>
    <phoneticPr fontId="1" type="noConversion"/>
  </si>
  <si>
    <t>CEO</t>
    <phoneticPr fontId="1" type="noConversion"/>
  </si>
  <si>
    <t>3차승인</t>
    <phoneticPr fontId="1" type="noConversion"/>
  </si>
  <si>
    <t>접대비**</t>
    <phoneticPr fontId="3" type="noConversion"/>
  </si>
  <si>
    <t>고정자산/구매**</t>
    <phoneticPr fontId="3" type="noConversion"/>
  </si>
  <si>
    <t>1백만원 이하 직접비</t>
    <phoneticPr fontId="1" type="noConversion"/>
  </si>
  <si>
    <t>2차승인</t>
    <phoneticPr fontId="1" type="noConversion"/>
  </si>
  <si>
    <t>간접비</t>
    <phoneticPr fontId="3" type="noConversion"/>
  </si>
  <si>
    <t>1백만원 이하 접대비</t>
    <phoneticPr fontId="1" type="noConversion"/>
  </si>
  <si>
    <t xml:space="preserve">**** 내부 비교견적 충분히 필요 2~3업체 비교 바랍니다. </t>
    <phoneticPr fontId="3" type="noConversion"/>
  </si>
  <si>
    <t>열람자 4 /이민철/ CEO</t>
    <phoneticPr fontId="1" type="noConversion"/>
  </si>
  <si>
    <t>열람자 4 /이민철</t>
    <phoneticPr fontId="1" type="noConversion"/>
  </si>
  <si>
    <r>
      <t xml:space="preserve"> </t>
    </r>
    <r>
      <rPr>
        <sz val="11"/>
        <color theme="1"/>
        <rFont val="맑은 고딕"/>
        <family val="3"/>
        <charset val="129"/>
      </rPr>
      <t>▶</t>
    </r>
    <r>
      <rPr>
        <sz val="11"/>
        <color theme="1"/>
        <rFont val="맑은 고딕"/>
        <family val="3"/>
        <charset val="129"/>
        <scheme val="minor"/>
      </rPr>
      <t xml:space="preserve">경영지원본부 및 기타 이해관계자 열람/공람자에 포함 </t>
    </r>
    <phoneticPr fontId="3" type="noConversion"/>
  </si>
  <si>
    <t>개인경비 지급요청서</t>
    <phoneticPr fontId="1" type="noConversion"/>
  </si>
  <si>
    <t>(     )월 지출 합계 내역</t>
    <phoneticPr fontId="1" type="noConversion"/>
  </si>
  <si>
    <t>상세</t>
    <phoneticPr fontId="1" type="noConversion"/>
  </si>
  <si>
    <t>사용처 (업체명)</t>
    <phoneticPr fontId="1" type="noConversion"/>
  </si>
  <si>
    <t>구분</t>
    <phoneticPr fontId="1" type="noConversion"/>
  </si>
  <si>
    <t>법인 지출내역서</t>
    <phoneticPr fontId="1" type="noConversion"/>
  </si>
  <si>
    <t>품명</t>
    <phoneticPr fontId="1" type="noConversion"/>
  </si>
  <si>
    <t>카드번호</t>
    <phoneticPr fontId="1" type="noConversion"/>
  </si>
  <si>
    <t>(  2  )월 지출 합계 내역</t>
  </si>
  <si>
    <t>4140-0326-9330-7957</t>
  </si>
  <si>
    <t>충전</t>
  </si>
  <si>
    <t>(사)한국자동차환경협</t>
  </si>
  <si>
    <t>석호민</t>
  </si>
  <si>
    <t>주유비</t>
  </si>
  <si>
    <t>지에스칼텍스(주)가든</t>
  </si>
  <si>
    <t>주유</t>
  </si>
  <si>
    <t>자동차 관련</t>
  </si>
  <si>
    <t>접대</t>
  </si>
  <si>
    <t>고향옥얼큰순대국 문</t>
  </si>
  <si>
    <t>식사</t>
  </si>
  <si>
    <t>사무용품</t>
  </si>
  <si>
    <t>문정동현대지식산업센</t>
  </si>
  <si>
    <t>사무실 임대료</t>
  </si>
  <si>
    <t>택배비</t>
  </si>
  <si>
    <t>우정사업본부(우체국)</t>
  </si>
  <si>
    <t>우편요금</t>
  </si>
  <si>
    <t>플러그링크 전기차충</t>
  </si>
  <si>
    <t>전기차 충전</t>
  </si>
  <si>
    <t>지에스차지비 주식회사</t>
  </si>
  <si>
    <t>삼성전자서비스(주)</t>
  </si>
  <si>
    <t>교통비</t>
  </si>
  <si>
    <t>카카오T일반택시_0</t>
  </si>
  <si>
    <t>더벤티 문정점</t>
  </si>
  <si>
    <t>카카오T택시_가승인</t>
  </si>
  <si>
    <t>SK일렉링크</t>
  </si>
  <si>
    <t>서하남아이씨주유소</t>
  </si>
  <si>
    <t>에스케이일렉링크</t>
  </si>
  <si>
    <t>슬비네시골밥상</t>
  </si>
  <si>
    <t>택배</t>
  </si>
  <si>
    <t>형제주유소</t>
  </si>
  <si>
    <t>주차비</t>
  </si>
  <si>
    <t>기타</t>
  </si>
  <si>
    <t>서울판지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</si>
</sst>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76" formatCode="_-* #,##0_-;\-* #,##0_-;_-* &quot;-&quot;_-;_-@_-"/>
    <numFmt numFmtId="177" formatCode="0_);[Red]\(0\)"/>
  </numFmts>
  <fonts count="12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1" fontId="2" fillId="0" borderId="0" applyFont="0" applyFill="0" applyBorder="0" applyAlignment="0" applyProtection="0"/>
    <xf numFmtId="0" fontId="2" fillId="0" borderId="0"/>
    <xf numFmtId="0" fontId="4" fillId="0" borderId="0"/>
    <xf numFmtId="176" fontId="5" fillId="0" borderId="0" applyFont="0" applyFill="0" applyBorder="0" applyAlignment="0" applyProtection="0">
      <alignment vertical="center"/>
    </xf>
  </cellStyleXfs>
  <cellXfs count="1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/>
    </xf>
    <xf numFmtId="38" fontId="0" fillId="0" borderId="0" xfId="0" applyNumberFormat="1"/>
    <xf numFmtId="38" fontId="0" fillId="2" borderId="0" xfId="0" applyNumberFormat="1" applyFill="1"/>
    <xf numFmtId="14" fontId="0" fillId="0" borderId="5" xfId="0" applyNumberFormat="1" applyBorder="1" applyAlignment="1">
      <alignment horizontal="left"/>
    </xf>
    <xf numFmtId="38" fontId="0" fillId="0" borderId="6" xfId="0" applyNumberFormat="1" applyBorder="1"/>
    <xf numFmtId="0" fontId="0" fillId="2" borderId="0" xfId="0" applyFill="1"/>
    <xf numFmtId="14" fontId="0" fillId="0" borderId="0" xfId="0" applyNumberFormat="1"/>
    <xf numFmtId="0" fontId="0" fillId="5" borderId="5" xfId="0" applyFill="1" applyBorder="1" applyAlignment="1">
      <alignment horizontal="center"/>
    </xf>
    <xf numFmtId="0" fontId="0" fillId="5" borderId="0" xfId="0" applyFill="1" applyAlignment="1">
      <alignment horizontal="center" wrapText="1"/>
    </xf>
    <xf numFmtId="38" fontId="0" fillId="5" borderId="0" xfId="0" applyNumberFormat="1" applyFill="1" applyAlignment="1">
      <alignment horizontal="center"/>
    </xf>
    <xf numFmtId="38" fontId="0" fillId="5" borderId="6" xfId="0" applyNumberFormat="1" applyFill="1" applyBorder="1" applyAlignment="1">
      <alignment horizontal="center"/>
    </xf>
    <xf numFmtId="0" fontId="0" fillId="2" borderId="5" xfId="0" applyFill="1" applyBorder="1"/>
    <xf numFmtId="38" fontId="0" fillId="0" borderId="9" xfId="0" applyNumberFormat="1" applyBorder="1"/>
    <xf numFmtId="38" fontId="0" fillId="2" borderId="6" xfId="0" applyNumberFormat="1" applyFill="1" applyBorder="1"/>
    <xf numFmtId="14" fontId="0" fillId="3" borderId="0" xfId="0" applyNumberFormat="1" applyFill="1" applyAlignment="1">
      <alignment horizontal="center"/>
    </xf>
    <xf numFmtId="176" fontId="6" fillId="3" borderId="4" xfId="4" applyFont="1" applyFill="1" applyBorder="1" applyAlignment="1"/>
    <xf numFmtId="14" fontId="0" fillId="3" borderId="5" xfId="0" applyNumberFormat="1" applyFill="1" applyBorder="1" applyAlignment="1">
      <alignment horizontal="center"/>
    </xf>
    <xf numFmtId="14" fontId="0" fillId="3" borderId="6" xfId="0" applyNumberFormat="1" applyFill="1" applyBorder="1" applyAlignment="1">
      <alignment horizontal="center"/>
    </xf>
    <xf numFmtId="14" fontId="0" fillId="0" borderId="7" xfId="0" applyNumberFormat="1" applyBorder="1" applyAlignment="1">
      <alignment horizontal="left"/>
    </xf>
    <xf numFmtId="14" fontId="0" fillId="0" borderId="8" xfId="0" applyNumberFormat="1" applyBorder="1" applyAlignment="1">
      <alignment horizontal="left"/>
    </xf>
    <xf numFmtId="176" fontId="6" fillId="3" borderId="13" xfId="4" applyFont="1" applyFill="1" applyBorder="1" applyAlignment="1"/>
    <xf numFmtId="176" fontId="6" fillId="3" borderId="20" xfId="4" applyFont="1" applyFill="1" applyBorder="1" applyAlignment="1"/>
    <xf numFmtId="14" fontId="0" fillId="2" borderId="5" xfId="0" applyNumberFormat="1" applyFill="1" applyBorder="1" applyAlignment="1">
      <alignment horizontal="left"/>
    </xf>
    <xf numFmtId="14" fontId="0" fillId="2" borderId="0" xfId="0" applyNumberFormat="1" applyFill="1" applyAlignment="1">
      <alignment horizontal="left"/>
    </xf>
    <xf numFmtId="14" fontId="0" fillId="2" borderId="0" xfId="0" applyNumberForma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14" fontId="0" fillId="0" borderId="0" xfId="0" applyNumberFormat="1" applyAlignment="1">
      <alignment horizontal="left" vertical="center"/>
    </xf>
    <xf numFmtId="176" fontId="0" fillId="0" borderId="0" xfId="4" applyFont="1" applyAlignment="1">
      <alignment horizontal="left" vertical="center"/>
    </xf>
    <xf numFmtId="176" fontId="0" fillId="0" borderId="0" xfId="4" applyFont="1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6" fontId="8" fillId="0" borderId="0" xfId="4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176" fontId="0" fillId="0" borderId="11" xfId="4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6" fontId="0" fillId="0" borderId="0" xfId="4" applyFont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176" fontId="0" fillId="7" borderId="0" xfId="4" applyFont="1" applyFill="1" applyAlignment="1">
      <alignment horizontal="center" vertical="center" shrinkToFit="1"/>
    </xf>
    <xf numFmtId="0" fontId="0" fillId="7" borderId="0" xfId="0" applyFill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8" borderId="0" xfId="0" applyFill="1" applyAlignment="1">
      <alignment horizontal="center" vertical="center" shrinkToFit="1"/>
    </xf>
    <xf numFmtId="176" fontId="0" fillId="0" borderId="0" xfId="4" applyFont="1" applyFill="1" applyAlignment="1">
      <alignment horizontal="center" vertical="center" shrinkToFit="1"/>
    </xf>
    <xf numFmtId="0" fontId="6" fillId="4" borderId="22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 wrapText="1"/>
    </xf>
    <xf numFmtId="38" fontId="0" fillId="0" borderId="0" xfId="0" applyNumberFormat="1" applyAlignment="1">
      <alignment vertical="center"/>
    </xf>
    <xf numFmtId="0" fontId="10" fillId="0" borderId="0" xfId="0" applyFont="1" applyAlignment="1">
      <alignment vertical="center"/>
    </xf>
    <xf numFmtId="14" fontId="0" fillId="3" borderId="1" xfId="0" applyNumberFormat="1" applyFill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left" vertical="center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76" fontId="0" fillId="0" borderId="0" xfId="4" applyFont="1" applyAlignment="1">
      <alignment horizontal="center" vertical="center" shrinkToFit="1"/>
    </xf>
    <xf numFmtId="176" fontId="0" fillId="0" borderId="0" xfId="4" applyFont="1" applyFill="1" applyAlignment="1">
      <alignment horizontal="left" vertical="center"/>
    </xf>
    <xf numFmtId="14" fontId="0" fillId="0" borderId="0" xfId="0" applyNumberFormat="1" applyAlignment="1">
      <alignment vertical="center"/>
    </xf>
    <xf numFmtId="14" fontId="0" fillId="0" borderId="1" xfId="0" applyNumberFormat="1" applyBorder="1" applyAlignment="1" applyProtection="1">
      <alignment vertical="center"/>
      <protection locked="0"/>
    </xf>
    <xf numFmtId="14" fontId="0" fillId="3" borderId="1" xfId="0" applyNumberFormat="1" applyFill="1" applyBorder="1" applyAlignment="1" applyProtection="1">
      <alignment vertical="center"/>
      <protection locked="0"/>
    </xf>
    <xf numFmtId="176" fontId="0" fillId="0" borderId="1" xfId="4" applyFont="1" applyFill="1" applyBorder="1" applyAlignment="1" applyProtection="1">
      <alignment vertical="center"/>
      <protection locked="0"/>
    </xf>
    <xf numFmtId="38" fontId="0" fillId="0" borderId="1" xfId="0" applyNumberFormat="1" applyBorder="1" applyAlignment="1" applyProtection="1">
      <alignment vertical="center"/>
      <protection locked="0"/>
    </xf>
    <xf numFmtId="177" fontId="0" fillId="0" borderId="1" xfId="4" applyNumberFormat="1" applyFont="1" applyFill="1" applyBorder="1" applyAlignment="1" applyProtection="1">
      <alignment horizontal="center" vertical="center"/>
      <protection locked="0"/>
    </xf>
    <xf numFmtId="177" fontId="0" fillId="3" borderId="1" xfId="0" applyNumberFormat="1" applyFill="1" applyBorder="1" applyAlignment="1" applyProtection="1">
      <alignment horizontal="center" vertical="center"/>
      <protection locked="0"/>
    </xf>
    <xf numFmtId="177" fontId="0" fillId="0" borderId="1" xfId="0" applyNumberFormat="1" applyBorder="1" applyAlignment="1" applyProtection="1">
      <alignment horizontal="center" vertical="center"/>
      <protection locked="0"/>
    </xf>
    <xf numFmtId="177" fontId="0" fillId="0" borderId="0" xfId="0" applyNumberFormat="1"/>
    <xf numFmtId="177" fontId="0" fillId="0" borderId="1" xfId="4" applyNumberFormat="1" applyFont="1" applyFill="1" applyBorder="1" applyAlignment="1" applyProtection="1">
      <alignment vertical="center"/>
      <protection locked="0"/>
    </xf>
    <xf numFmtId="38" fontId="0" fillId="0" borderId="0" xfId="0" applyNumberFormat="1" applyAlignment="1">
      <alignment horizontal="center"/>
    </xf>
    <xf numFmtId="14" fontId="0" fillId="0" borderId="1" xfId="0" applyNumberFormat="1" applyBorder="1" applyAlignment="1">
      <alignment vertical="center"/>
    </xf>
    <xf numFmtId="14" fontId="6" fillId="6" borderId="2" xfId="0" applyNumberFormat="1" applyFont="1" applyFill="1" applyBorder="1" applyAlignment="1">
      <alignment horizontal="center"/>
    </xf>
    <xf numFmtId="14" fontId="6" fillId="6" borderId="3" xfId="0" applyNumberFormat="1" applyFont="1" applyFill="1" applyBorder="1" applyAlignment="1">
      <alignment horizontal="center"/>
    </xf>
    <xf numFmtId="14" fontId="6" fillId="3" borderId="15" xfId="0" applyNumberFormat="1" applyFont="1" applyFill="1" applyBorder="1" applyAlignment="1">
      <alignment horizontal="center"/>
    </xf>
    <xf numFmtId="14" fontId="6" fillId="3" borderId="13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38" fontId="0" fillId="0" borderId="0" xfId="0" applyNumberFormat="1" applyAlignment="1">
      <alignment horizontal="center"/>
    </xf>
    <xf numFmtId="14" fontId="6" fillId="3" borderId="1" xfId="0" applyNumberFormat="1" applyFont="1" applyFill="1" applyBorder="1" applyAlignment="1" applyProtection="1">
      <alignment horizontal="center" vertical="center"/>
      <protection locked="0"/>
    </xf>
    <xf numFmtId="176" fontId="6" fillId="3" borderId="1" xfId="4" applyFont="1" applyFill="1" applyBorder="1" applyAlignment="1" applyProtection="1">
      <alignment horizontal="center" vertical="center"/>
    </xf>
    <xf numFmtId="14" fontId="6" fillId="6" borderId="1" xfId="0" applyNumberFormat="1" applyFont="1" applyFill="1" applyBorder="1" applyAlignment="1" applyProtection="1">
      <alignment horizontal="center" vertical="center"/>
      <protection locked="0"/>
    </xf>
    <xf numFmtId="14" fontId="11" fillId="0" borderId="5" xfId="0" applyNumberFormat="1" applyFont="1" applyBorder="1" applyAlignment="1" applyProtection="1">
      <alignment horizontal="center" vertical="center"/>
      <protection locked="0"/>
    </xf>
    <xf numFmtId="14" fontId="11" fillId="0" borderId="0" xfId="0" applyNumberFormat="1" applyFont="1" applyAlignment="1" applyProtection="1">
      <alignment horizontal="center" vertical="center"/>
      <protection locked="0"/>
    </xf>
    <xf numFmtId="14" fontId="11" fillId="0" borderId="7" xfId="0" applyNumberFormat="1" applyFont="1" applyBorder="1" applyAlignment="1" applyProtection="1">
      <alignment horizontal="center" vertical="center"/>
      <protection locked="0"/>
    </xf>
    <xf numFmtId="14" fontId="11" fillId="0" borderId="8" xfId="0" applyNumberFormat="1" applyFont="1" applyBorder="1" applyAlignment="1" applyProtection="1">
      <alignment horizontal="center" vertical="center"/>
      <protection locked="0"/>
    </xf>
    <xf numFmtId="176" fontId="6" fillId="3" borderId="15" xfId="4" applyFont="1" applyFill="1" applyBorder="1" applyAlignment="1" applyProtection="1">
      <alignment horizontal="center" vertical="center"/>
    </xf>
    <xf numFmtId="176" fontId="6" fillId="3" borderId="20" xfId="4" applyFont="1" applyFill="1" applyBorder="1" applyAlignment="1" applyProtection="1">
      <alignment horizontal="center" vertical="center"/>
    </xf>
    <xf numFmtId="14" fontId="6" fillId="6" borderId="15" xfId="0" applyNumberFormat="1" applyFont="1" applyFill="1" applyBorder="1" applyAlignment="1" applyProtection="1">
      <alignment horizontal="center" vertical="center"/>
      <protection locked="0"/>
    </xf>
    <xf numFmtId="14" fontId="6" fillId="6" borderId="13" xfId="0" applyNumberFormat="1" applyFont="1" applyFill="1" applyBorder="1" applyAlignment="1" applyProtection="1">
      <alignment horizontal="center" vertical="center"/>
      <protection locked="0"/>
    </xf>
    <xf numFmtId="176" fontId="0" fillId="0" borderId="0" xfId="4" applyFont="1" applyAlignment="1">
      <alignment horizontal="center" vertical="center" shrinkToFit="1"/>
    </xf>
    <xf numFmtId="176" fontId="0" fillId="0" borderId="0" xfId="4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6" fillId="4" borderId="33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7" fillId="0" borderId="0" xfId="4" applyFont="1" applyFill="1" applyAlignment="1">
      <alignment horizontal="left" vertical="center"/>
    </xf>
    <xf numFmtId="176" fontId="0" fillId="0" borderId="29" xfId="4" applyFont="1" applyFill="1" applyBorder="1" applyAlignment="1">
      <alignment horizontal="center" vertical="center"/>
    </xf>
    <xf numFmtId="176" fontId="0" fillId="0" borderId="31" xfId="4" applyFont="1" applyFill="1" applyBorder="1" applyAlignment="1">
      <alignment horizontal="center" vertical="center"/>
    </xf>
    <xf numFmtId="176" fontId="0" fillId="0" borderId="22" xfId="4" applyFont="1" applyFill="1" applyBorder="1" applyAlignment="1">
      <alignment horizontal="center" vertical="center"/>
    </xf>
    <xf numFmtId="176" fontId="0" fillId="0" borderId="30" xfId="4" applyFont="1" applyFill="1" applyBorder="1" applyAlignment="1">
      <alignment horizontal="center" vertical="center"/>
    </xf>
    <xf numFmtId="176" fontId="0" fillId="0" borderId="32" xfId="4" applyFont="1" applyFill="1" applyBorder="1" applyAlignment="1">
      <alignment horizontal="center" vertical="center"/>
    </xf>
    <xf numFmtId="176" fontId="0" fillId="0" borderId="23" xfId="4" applyFont="1" applyFill="1" applyBorder="1" applyAlignment="1">
      <alignment horizontal="center" vertical="center"/>
    </xf>
    <xf numFmtId="0" fontId="6" fillId="9" borderId="26" xfId="0" applyFont="1" applyFill="1" applyBorder="1" applyAlignment="1">
      <alignment horizontal="center" vertical="center"/>
    </xf>
    <xf numFmtId="0" fontId="6" fillId="9" borderId="27" xfId="0" applyFont="1" applyFill="1" applyBorder="1" applyAlignment="1">
      <alignment horizontal="center" vertical="center"/>
    </xf>
    <xf numFmtId="0" fontId="6" fillId="9" borderId="28" xfId="0" applyFont="1" applyFill="1" applyBorder="1" applyAlignment="1">
      <alignment horizontal="center" vertical="center"/>
    </xf>
    <xf numFmtId="0" fontId="6" fillId="9" borderId="24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25" xfId="0" applyFont="1" applyFill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</cellXfs>
  <cellStyles count="5">
    <cellStyle name="쉼표 [0]" xfId="4" builtinId="6"/>
    <cellStyle name="쉼표 [0] 2" xfId="1" xr:uid="{00000000-0005-0000-0000-000001000000}"/>
    <cellStyle name="표준" xfId="0" builtinId="0"/>
    <cellStyle name="표준 2" xfId="2" xr:uid="{00000000-0005-0000-0000-000003000000}"/>
    <cellStyle name="표준 5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11206</xdr:colOff>
      <xdr:row>20</xdr:row>
      <xdr:rowOff>95250</xdr:rowOff>
    </xdr:from>
    <xdr:to>
      <xdr:col>7</xdr:col>
      <xdr:colOff>156883</xdr:colOff>
      <xdr:row>24</xdr:row>
      <xdr:rowOff>114300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4453357-7CE0-4432-8BF5-EEEE97C04AF6}"/>
            </a:ext>
          </a:extLst>
        </xdr:cNvPr>
        <xdr:cNvSpPr/>
      </xdr:nvSpPr>
      <xdr:spPr>
        <a:xfrm>
          <a:off x="192181" y="4610100"/>
          <a:ext cx="6241677" cy="8572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</xdr:colOff>
      <xdr:row>24</xdr:row>
      <xdr:rowOff>152400</xdr:rowOff>
    </xdr:from>
    <xdr:to>
      <xdr:col>7</xdr:col>
      <xdr:colOff>152401</xdr:colOff>
      <xdr:row>28</xdr:row>
      <xdr:rowOff>171450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5F8367BF-9F07-44A3-886C-6C4FBBB12905}"/>
            </a:ext>
          </a:extLst>
        </xdr:cNvPr>
        <xdr:cNvSpPr/>
      </xdr:nvSpPr>
      <xdr:spPr>
        <a:xfrm>
          <a:off x="180976" y="5505450"/>
          <a:ext cx="6248400" cy="8572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679076</xdr:colOff>
      <xdr:row>22</xdr:row>
      <xdr:rowOff>0</xdr:rowOff>
    </xdr:from>
    <xdr:to>
      <xdr:col>3</xdr:col>
      <xdr:colOff>679076</xdr:colOff>
      <xdr:row>23</xdr:row>
      <xdr:rowOff>6723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8A959189-6BC9-4C18-9226-62E718BE09DD}"/>
            </a:ext>
          </a:extLst>
        </xdr:cNvPr>
        <xdr:cNvCxnSpPr/>
      </xdr:nvCxnSpPr>
      <xdr:spPr>
        <a:xfrm flipV="1">
          <a:off x="3584201" y="4933950"/>
          <a:ext cx="0" cy="21627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685799</xdr:colOff>
      <xdr:row>25</xdr:row>
      <xdr:rowOff>208429</xdr:rowOff>
    </xdr:from>
    <xdr:to>
      <xdr:col>3</xdr:col>
      <xdr:colOff>685799</xdr:colOff>
      <xdr:row>27</xdr:row>
      <xdr:rowOff>2241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E0CF7F2A-404A-4587-A07E-7713658022D6}"/>
            </a:ext>
          </a:extLst>
        </xdr:cNvPr>
        <xdr:cNvCxnSpPr/>
      </xdr:nvCxnSpPr>
      <xdr:spPr>
        <a:xfrm flipV="1">
          <a:off x="3590924" y="5771029"/>
          <a:ext cx="0" cy="21291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문 연순" id="{6F50A445-0B1F-44A5-836C-4066A1524EEB}" userId="S::maureen@ridenowoffice.onmicrosoft.com::94e187b0-419d-4bef-9141-da397d2bbf1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4-03-22T08:44:14.87" personId="{6F50A445-0B1F-44A5-836C-4066A1524EEB}" id="{1A31271A-F255-462F-A2F8-C8FCD2099CCF}">
    <text>승인권자 성명 입력요망</text>
  </threadedComment>
  <threadedComment ref="E4" dT="2024-03-22T08:44:14.87" personId="{6F50A445-0B1F-44A5-836C-4066A1524EEB}" id="{8AE6777D-F2C1-463C-B5F1-13964D780F1E}">
    <text>승인권자 성명 입력요망</text>
  </threadedComment>
  <threadedComment ref="E5" dT="2024-03-22T08:44:14.87" personId="{6F50A445-0B1F-44A5-836C-4066A1524EEB}" id="{AF106BB4-AD24-47DE-ADC0-3FCBB73F69CF}">
    <text>승인권자 성명 입력요망</text>
  </threadedComment>
  <threadedComment ref="E6" dT="2024-03-22T08:44:14.87" personId="{6F50A445-0B1F-44A5-836C-4066A1524EEB}" id="{15ED5140-C0AF-4C21-B4FD-22D5A44B8939}">
    <text>승인권자 성명 입력요망</text>
  </threadedComment>
  <threadedComment ref="A8" dT="2024-03-22T08:33:33.41" personId="{6F50A445-0B1F-44A5-836C-4066A1524EEB}" id="{A33F01F2-12FC-4055-933B-47ABA829D469}">
    <text>비용계정탭에서 참조. 개인/팀별 조정하여 사용가능</text>
  </threadedComment>
  <threadedComment ref="B8" dT="2024-03-22T08:36:14.25" personId="{6F50A445-0B1F-44A5-836C-4066A1524EEB}" id="{6E46A4F5-284B-47E0-87BE-C93A7D0F897D}">
    <text>자동표기됨</text>
  </threadedComment>
  <threadedComment ref="C8" dT="2024-03-22T09:12:51.58" personId="{6F50A445-0B1F-44A5-836C-4066A1524EEB}" id="{D2AD80DB-4C84-4CDF-82E8-227023D0FA7F}">
    <text>비용 계정별 지급요청기간(30일) 발생총액 표기</text>
  </threadedComment>
  <threadedComment ref="A14" dT="2024-03-22T09:26:22.49" personId="{6F50A445-0B1F-44A5-836C-4066A1524EEB}" id="{6CE783FF-CCB7-4C4F-93D1-E7DD6FCA7FEB}">
    <text>주유비/통행료 등</text>
  </threadedComment>
  <threadedComment ref="A15" dT="2024-03-22T09:25:54.46" personId="{6F50A445-0B1F-44A5-836C-4066A1524EEB}" id="{E9F37953-73AA-4AA5-8464-9508F4398D6A}">
    <text>주유비/통행료 등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:C12"/>
    </sheetView>
  </sheetViews>
  <sheetFormatPr baseColWidth="10" defaultColWidth="8.83203125" defaultRowHeight="17"/>
  <cols>
    <col min="2" max="2" width="21.6640625" bestFit="1" customWidth="1"/>
    <col min="3" max="3" width="58.6640625" bestFit="1" customWidth="1"/>
  </cols>
  <sheetData>
    <row r="1" spans="2:3">
      <c r="B1" s="1" t="s">
        <v>29</v>
      </c>
      <c r="C1" s="29"/>
    </row>
    <row r="2" spans="2:3">
      <c r="B2" s="1" t="s">
        <v>67</v>
      </c>
      <c r="C2" s="1" t="s">
        <v>77</v>
      </c>
    </row>
    <row r="3" spans="2:3">
      <c r="B3" s="1" t="s">
        <v>73</v>
      </c>
      <c r="C3" s="1" t="s">
        <v>79</v>
      </c>
    </row>
    <row r="4" spans="2:3">
      <c r="B4" s="1" t="s">
        <v>74</v>
      </c>
      <c r="C4" s="1" t="s">
        <v>78</v>
      </c>
    </row>
    <row r="5" spans="2:3">
      <c r="B5" s="30"/>
      <c r="C5" t="s">
        <v>26</v>
      </c>
    </row>
    <row r="6" spans="2:3">
      <c r="B6" s="4" t="str">
        <f>경비요청서_Care!A5</f>
        <v>요청자</v>
      </c>
      <c r="C6" t="s">
        <v>27</v>
      </c>
    </row>
    <row r="7" spans="2:3">
      <c r="B7" s="1" t="e">
        <f>경비요청서_Care!$A$8</f>
        <v>#REF!</v>
      </c>
      <c r="C7" t="s">
        <v>28</v>
      </c>
    </row>
    <row r="8" spans="2:3">
      <c r="B8" s="1" t="str">
        <f>경비요청서_Care!C3</f>
        <v>1차 승인자(팀장)</v>
      </c>
      <c r="C8" t="s">
        <v>60</v>
      </c>
    </row>
    <row r="9" spans="2:3">
      <c r="B9" s="1" t="s">
        <v>18</v>
      </c>
      <c r="C9" t="s">
        <v>65</v>
      </c>
    </row>
    <row r="10" spans="2:3">
      <c r="B10" s="1" t="s">
        <v>62</v>
      </c>
      <c r="C10" t="s">
        <v>66</v>
      </c>
    </row>
    <row r="11" spans="2:3">
      <c r="B11" s="1" t="s">
        <v>63</v>
      </c>
      <c r="C11" t="s">
        <v>64</v>
      </c>
    </row>
    <row r="12" spans="2:3">
      <c r="B12" s="1" t="s">
        <v>76</v>
      </c>
      <c r="C12" t="s">
        <v>75</v>
      </c>
    </row>
    <row r="20" spans="3:3">
      <c r="C20" s="2"/>
    </row>
    <row r="21" spans="3:3">
      <c r="C21" s="2"/>
    </row>
    <row r="22" spans="3:3">
      <c r="C22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E34"/>
  <sheetViews>
    <sheetView zoomScale="85" zoomScaleNormal="85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3203125" defaultRowHeight="17"/>
  <cols>
    <col min="1" max="1" width="29" style="4" customWidth="1"/>
    <col min="2" max="2" width="11.1640625" customWidth="1"/>
    <col min="3" max="3" width="13.5" style="5" customWidth="1"/>
    <col min="4" max="4" width="12.1640625" style="5" customWidth="1"/>
    <col min="5" max="5" width="14.6640625" style="5" customWidth="1"/>
    <col min="6" max="6" width="2.5" customWidth="1"/>
  </cols>
  <sheetData>
    <row r="1" spans="1:5">
      <c r="A1" s="4" t="s">
        <v>72</v>
      </c>
      <c r="B1" s="28" t="s">
        <v>68</v>
      </c>
      <c r="C1" s="5" t="s">
        <v>69</v>
      </c>
      <c r="D1" s="6" t="s">
        <v>70</v>
      </c>
      <c r="E1" s="6" t="s">
        <v>71</v>
      </c>
    </row>
    <row r="2" spans="1:5">
      <c r="A2" s="79" t="s">
        <v>7</v>
      </c>
      <c r="B2" s="80"/>
      <c r="C2" s="80"/>
      <c r="D2" s="80"/>
      <c r="E2" s="81"/>
    </row>
    <row r="3" spans="1:5">
      <c r="A3" s="7" t="s">
        <v>0</v>
      </c>
      <c r="B3" t="e">
        <f>VLOOKUP($B$5,#REF!,2,FALSE)</f>
        <v>#REF!</v>
      </c>
      <c r="C3" s="82" t="s">
        <v>9</v>
      </c>
      <c r="D3" s="82"/>
      <c r="E3" s="17"/>
    </row>
    <row r="4" spans="1:5">
      <c r="A4" s="7" t="s">
        <v>1</v>
      </c>
      <c r="B4" t="e">
        <f>VLOOKUP($B$5,#REF!,4,FALSE)</f>
        <v>#REF!</v>
      </c>
      <c r="C4" s="82" t="s">
        <v>10</v>
      </c>
      <c r="D4" s="82"/>
      <c r="E4" s="17"/>
    </row>
    <row r="5" spans="1:5">
      <c r="A5" s="7" t="s">
        <v>8</v>
      </c>
      <c r="B5" s="9" t="s">
        <v>24</v>
      </c>
      <c r="C5" s="82" t="s">
        <v>11</v>
      </c>
      <c r="D5" s="82"/>
      <c r="E5" s="17"/>
    </row>
    <row r="6" spans="1:5">
      <c r="A6" s="7" t="s">
        <v>25</v>
      </c>
      <c r="B6" s="10">
        <f ca="1">TODAY()</f>
        <v>46086</v>
      </c>
      <c r="C6" s="82" t="s">
        <v>12</v>
      </c>
      <c r="D6" s="82"/>
      <c r="E6" s="17"/>
    </row>
    <row r="7" spans="1:5" ht="24.75" customHeight="1">
      <c r="A7" s="77" t="s">
        <v>23</v>
      </c>
      <c r="B7" s="78"/>
      <c r="C7" s="24">
        <f>SUM(C9:C23)</f>
        <v>177000</v>
      </c>
      <c r="D7" s="24">
        <f>SUM(D9:D23)</f>
        <v>0</v>
      </c>
      <c r="E7" s="25">
        <f>SUM(E9:E23)</f>
        <v>177000</v>
      </c>
    </row>
    <row r="8" spans="1:5" ht="36">
      <c r="A8" s="11" t="e">
        <f>#REF!</f>
        <v>#REF!</v>
      </c>
      <c r="B8" s="12" t="s">
        <v>54</v>
      </c>
      <c r="C8" s="13" t="s">
        <v>14</v>
      </c>
      <c r="D8" s="13" t="s">
        <v>15</v>
      </c>
      <c r="E8" s="14" t="s">
        <v>16</v>
      </c>
    </row>
    <row r="9" spans="1:5">
      <c r="A9" s="15" t="s">
        <v>19</v>
      </c>
      <c r="B9" s="1" t="e">
        <f>VLOOKUP(A9,#REF!,2,FALSE)</f>
        <v>#REF!</v>
      </c>
      <c r="C9" s="6">
        <f>50000*3</f>
        <v>150000</v>
      </c>
      <c r="D9" s="6"/>
      <c r="E9" s="8">
        <f>SUM(C9:D9)</f>
        <v>150000</v>
      </c>
    </row>
    <row r="10" spans="1:5">
      <c r="A10" s="15" t="s">
        <v>17</v>
      </c>
      <c r="B10" s="1" t="e">
        <f>VLOOKUP(A10,#REF!,2,FALSE)</f>
        <v>#REF!</v>
      </c>
      <c r="C10" s="6">
        <f>8000+7000+12000</f>
        <v>27000</v>
      </c>
      <c r="D10" s="6"/>
      <c r="E10" s="8">
        <f t="shared" ref="E10:E23" si="0">SUM(C10:D10)</f>
        <v>27000</v>
      </c>
    </row>
    <row r="11" spans="1:5">
      <c r="A11" s="15" t="s">
        <v>5</v>
      </c>
      <c r="B11" s="1" t="e">
        <f>VLOOKUP(A11,#REF!,2,FALSE)</f>
        <v>#REF!</v>
      </c>
      <c r="C11" s="6"/>
      <c r="D11" s="6"/>
      <c r="E11" s="8">
        <f t="shared" si="0"/>
        <v>0</v>
      </c>
    </row>
    <row r="12" spans="1:5">
      <c r="A12" s="15" t="s">
        <v>20</v>
      </c>
      <c r="B12" s="1" t="e">
        <f>VLOOKUP(A12,#REF!,2,FALSE)</f>
        <v>#REF!</v>
      </c>
      <c r="C12" s="6"/>
      <c r="D12" s="6"/>
      <c r="E12" s="8">
        <f t="shared" si="0"/>
        <v>0</v>
      </c>
    </row>
    <row r="13" spans="1:5">
      <c r="A13" s="15" t="s">
        <v>21</v>
      </c>
      <c r="B13" s="1" t="e">
        <f>VLOOKUP(A13,#REF!,2,FALSE)</f>
        <v>#REF!</v>
      </c>
      <c r="C13" s="6"/>
      <c r="D13" s="6"/>
      <c r="E13" s="8">
        <f t="shared" si="0"/>
        <v>0</v>
      </c>
    </row>
    <row r="14" spans="1:5">
      <c r="A14" s="15" t="s">
        <v>61</v>
      </c>
      <c r="B14" s="1" t="e">
        <f>VLOOKUP(A14,#REF!,2,FALSE)</f>
        <v>#REF!</v>
      </c>
      <c r="C14" s="6"/>
      <c r="D14" s="6"/>
      <c r="E14" s="8">
        <f t="shared" si="0"/>
        <v>0</v>
      </c>
    </row>
    <row r="15" spans="1:5">
      <c r="A15" s="15" t="s">
        <v>6</v>
      </c>
      <c r="B15" s="1" t="e">
        <f>VLOOKUP(A15,#REF!,2,FALSE)</f>
        <v>#REF!</v>
      </c>
      <c r="C15" s="6"/>
      <c r="D15" s="6"/>
      <c r="E15" s="8">
        <f t="shared" si="0"/>
        <v>0</v>
      </c>
    </row>
    <row r="16" spans="1:5">
      <c r="A16" s="15" t="s">
        <v>22</v>
      </c>
      <c r="B16" s="1" t="e">
        <f>VLOOKUP(A16,#REF!,2,FALSE)</f>
        <v>#REF!</v>
      </c>
      <c r="C16" s="6"/>
      <c r="D16" s="6"/>
      <c r="E16" s="8">
        <f t="shared" si="0"/>
        <v>0</v>
      </c>
    </row>
    <row r="17" spans="1:5">
      <c r="A17" s="15"/>
      <c r="B17" s="1"/>
      <c r="C17" s="6"/>
      <c r="D17" s="6"/>
      <c r="E17" s="8">
        <f t="shared" si="0"/>
        <v>0</v>
      </c>
    </row>
    <row r="18" spans="1:5">
      <c r="A18" s="15"/>
      <c r="B18" s="1"/>
      <c r="C18" s="6"/>
      <c r="D18" s="6"/>
      <c r="E18" s="8">
        <f t="shared" si="0"/>
        <v>0</v>
      </c>
    </row>
    <row r="19" spans="1:5">
      <c r="A19" s="15"/>
      <c r="B19" s="1"/>
      <c r="C19" s="6"/>
      <c r="D19" s="6"/>
      <c r="E19" s="8">
        <f t="shared" si="0"/>
        <v>0</v>
      </c>
    </row>
    <row r="20" spans="1:5">
      <c r="A20" s="15"/>
      <c r="B20" s="1"/>
      <c r="C20" s="6"/>
      <c r="D20" s="6"/>
      <c r="E20" s="8">
        <f t="shared" si="0"/>
        <v>0</v>
      </c>
    </row>
    <row r="21" spans="1:5">
      <c r="A21" s="15"/>
      <c r="B21" s="1"/>
      <c r="C21" s="6"/>
      <c r="D21" s="6"/>
      <c r="E21" s="8">
        <f t="shared" si="0"/>
        <v>0</v>
      </c>
    </row>
    <row r="22" spans="1:5">
      <c r="A22" s="15"/>
      <c r="B22" s="1"/>
      <c r="C22" s="6"/>
      <c r="D22" s="6"/>
      <c r="E22" s="8">
        <f t="shared" si="0"/>
        <v>0</v>
      </c>
    </row>
    <row r="23" spans="1:5">
      <c r="A23" s="15"/>
      <c r="B23" s="1"/>
      <c r="C23" s="6"/>
      <c r="D23" s="6"/>
      <c r="E23" s="8">
        <f t="shared" si="0"/>
        <v>0</v>
      </c>
    </row>
    <row r="24" spans="1:5">
      <c r="B24" s="1"/>
    </row>
    <row r="25" spans="1:5">
      <c r="A25" s="75" t="s">
        <v>55</v>
      </c>
      <c r="B25" s="76"/>
      <c r="C25" s="76"/>
      <c r="D25" s="76"/>
      <c r="E25" s="19">
        <f>SUM(E27:E34)</f>
        <v>150000</v>
      </c>
    </row>
    <row r="26" spans="1:5">
      <c r="A26" s="20" t="s">
        <v>59</v>
      </c>
      <c r="B26" s="18" t="s">
        <v>56</v>
      </c>
      <c r="C26" s="18" t="s">
        <v>57</v>
      </c>
      <c r="D26" s="18" t="s">
        <v>13</v>
      </c>
      <c r="E26" s="21" t="s">
        <v>58</v>
      </c>
    </row>
    <row r="27" spans="1:5">
      <c r="A27" s="26"/>
      <c r="B27" s="27"/>
      <c r="C27" s="27"/>
      <c r="D27" s="4">
        <v>45352</v>
      </c>
      <c r="E27" s="8">
        <v>50000</v>
      </c>
    </row>
    <row r="28" spans="1:5">
      <c r="A28" s="26"/>
      <c r="B28" s="27"/>
      <c r="C28" s="27"/>
      <c r="D28" s="4">
        <f>D27+1</f>
        <v>45353</v>
      </c>
      <c r="E28" s="8">
        <v>50000</v>
      </c>
    </row>
    <row r="29" spans="1:5">
      <c r="A29" s="26"/>
      <c r="B29" s="27"/>
      <c r="C29" s="27"/>
      <c r="D29" s="4">
        <f t="shared" ref="D29" si="1">D28+1</f>
        <v>45354</v>
      </c>
      <c r="E29" s="8">
        <v>50000</v>
      </c>
    </row>
    <row r="30" spans="1:5">
      <c r="A30" s="7"/>
      <c r="B30" s="4"/>
      <c r="C30" s="4"/>
      <c r="D30" s="4"/>
      <c r="E30" s="8"/>
    </row>
    <row r="31" spans="1:5">
      <c r="A31" s="7"/>
      <c r="B31" s="4"/>
      <c r="C31" s="4"/>
      <c r="D31" s="4"/>
      <c r="E31" s="8"/>
    </row>
    <row r="32" spans="1:5">
      <c r="A32" s="7"/>
      <c r="B32" s="4"/>
      <c r="C32" s="4"/>
      <c r="D32" s="4"/>
      <c r="E32" s="8"/>
    </row>
    <row r="33" spans="1:5">
      <c r="A33" s="7"/>
      <c r="B33" s="4"/>
      <c r="C33" s="4"/>
      <c r="D33" s="4"/>
      <c r="E33" s="8"/>
    </row>
    <row r="34" spans="1:5">
      <c r="A34" s="22"/>
      <c r="B34" s="23"/>
      <c r="C34" s="23"/>
      <c r="D34" s="23"/>
      <c r="E34" s="16"/>
    </row>
  </sheetData>
  <mergeCells count="7">
    <mergeCell ref="A25:D25"/>
    <mergeCell ref="A7:B7"/>
    <mergeCell ref="A2:E2"/>
    <mergeCell ref="C3:D3"/>
    <mergeCell ref="C4:D4"/>
    <mergeCell ref="C5:D5"/>
    <mergeCell ref="C6:D6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A1:H41"/>
  <sheetViews>
    <sheetView tabSelected="1" view="pageBreakPreview" topLeftCell="A15" zoomScale="116" zoomScaleNormal="85" zoomScaleSheetLayoutView="85" workbookViewId="0">
      <selection activeCell="A3" sqref="A3:H3"/>
    </sheetView>
  </sheetViews>
  <sheetFormatPr baseColWidth="10" defaultColWidth="8.83203125" defaultRowHeight="17"/>
  <cols>
    <col min="1" max="1" width="11.6640625" style="73" customWidth="1"/>
    <col min="2" max="2" width="21.33203125" style="71" bestFit="1" customWidth="1"/>
    <col min="3" max="3" width="11" style="4" bestFit="1" customWidth="1"/>
    <col min="4" max="4" width="15.1640625" style="4" bestFit="1" customWidth="1"/>
    <col min="5" max="5" width="14" customWidth="1"/>
    <col min="6" max="6" width="14.1640625" style="5" bestFit="1" customWidth="1"/>
    <col min="7" max="7" width="10.33203125" style="5" customWidth="1"/>
    <col min="8" max="8" width="11.6640625" style="5" bestFit="1" customWidth="1"/>
  </cols>
  <sheetData>
    <row r="1" spans="1:8" s="57" customFormat="1" ht="27">
      <c r="A1" s="86" t="s">
        <v>113</v>
      </c>
      <c r="B1" s="87"/>
      <c r="C1" s="87"/>
      <c r="D1" s="87"/>
      <c r="E1" s="87"/>
      <c r="F1" s="87"/>
      <c r="G1" s="87"/>
      <c r="H1" s="87"/>
    </row>
    <row r="2" spans="1:8" ht="21" customHeight="1">
      <c r="A2" s="83" t="s">
        <v>116</v>
      </c>
      <c r="B2" s="83"/>
      <c r="C2" s="83"/>
      <c r="D2" s="83"/>
      <c r="E2" s="83"/>
      <c r="F2" s="83"/>
      <c r="G2" s="84">
        <f>SUM(G5:G41)</f>
        <v>760285</v>
      </c>
      <c r="H2" s="84"/>
    </row>
    <row r="3" spans="1:8">
      <c r="A3" s="85" t="s">
        <v>110</v>
      </c>
      <c r="B3" s="85"/>
      <c r="C3" s="85"/>
      <c r="D3" s="85"/>
      <c r="E3" s="85"/>
      <c r="F3" s="85"/>
      <c r="G3" s="85"/>
      <c r="H3" s="85"/>
    </row>
    <row r="4" spans="1:8">
      <c r="A4" s="58" t="s">
        <v>13</v>
      </c>
      <c r="B4" s="69" t="s">
        <v>115</v>
      </c>
      <c r="C4" s="65" t="s">
        <v>112</v>
      </c>
      <c r="D4" s="65" t="s">
        <v>111</v>
      </c>
      <c r="E4" s="65" t="s">
        <v>114</v>
      </c>
      <c r="F4" s="58" t="s">
        <v>80</v>
      </c>
      <c r="G4" s="58" t="s">
        <v>58</v>
      </c>
      <c r="H4" s="58" t="s">
        <v>76</v>
      </c>
    </row>
    <row r="5" spans="1:8">
      <c r="A5" s="74">
        <v>46054</v>
      </c>
      <c r="B5" s="70" t="s">
        <v>117</v>
      </c>
      <c r="C5" s="64" t="s">
        <v>118</v>
      </c>
      <c r="D5" s="64" t="s">
        <v>119</v>
      </c>
      <c r="E5" s="64"/>
      <c r="F5" s="59" t="s">
        <v>120</v>
      </c>
      <c r="G5" s="66">
        <v>12096</v>
      </c>
      <c r="H5" s="72"/>
    </row>
    <row r="6" spans="1:8">
      <c r="A6" s="74">
        <v>46054</v>
      </c>
      <c r="B6" s="70" t="s">
        <v>117</v>
      </c>
      <c r="C6" s="64" t="s">
        <v>118</v>
      </c>
      <c r="D6" s="64" t="s">
        <v>119</v>
      </c>
      <c r="E6" s="64"/>
      <c r="F6" s="59" t="s">
        <v>120</v>
      </c>
      <c r="G6" s="66">
        <v>23658</v>
      </c>
      <c r="H6" s="72"/>
    </row>
    <row r="7" spans="1:8">
      <c r="A7" s="74">
        <v>46056</v>
      </c>
      <c r="B7" s="70" t="s">
        <v>117</v>
      </c>
      <c r="C7" s="64" t="s">
        <v>118</v>
      </c>
      <c r="D7" s="64" t="s">
        <v>119</v>
      </c>
      <c r="E7" s="64"/>
      <c r="F7" s="59" t="s">
        <v>120</v>
      </c>
      <c r="G7" s="66">
        <v>22607</v>
      </c>
      <c r="H7" s="72"/>
    </row>
    <row r="8" spans="1:8">
      <c r="A8" s="74">
        <v>46057</v>
      </c>
      <c r="B8" s="70" t="s">
        <v>117</v>
      </c>
      <c r="C8" s="64" t="s">
        <v>121</v>
      </c>
      <c r="D8" s="64" t="s">
        <v>122</v>
      </c>
      <c r="E8" s="64" t="s">
        <v>123</v>
      </c>
      <c r="F8" s="59" t="s">
        <v>120</v>
      </c>
      <c r="G8" s="66">
        <v>90000</v>
      </c>
      <c r="H8" s="72"/>
    </row>
    <row r="9" spans="1:8">
      <c r="A9" s="74">
        <v>46057</v>
      </c>
      <c r="B9" s="70" t="s">
        <v>117</v>
      </c>
      <c r="C9" s="64" t="s">
        <v>118</v>
      </c>
      <c r="D9" s="64" t="s">
        <v>119</v>
      </c>
      <c r="E9" s="64" t="s">
        <v>124</v>
      </c>
      <c r="F9" s="59" t="s">
        <v>120</v>
      </c>
      <c r="G9" s="66">
        <v>22607</v>
      </c>
      <c r="H9" s="72"/>
    </row>
    <row r="10" spans="1:8">
      <c r="A10" s="74">
        <v>46059</v>
      </c>
      <c r="B10" s="70" t="s">
        <v>117</v>
      </c>
      <c r="C10" s="64" t="s">
        <v>125</v>
      </c>
      <c r="D10" s="64" t="s">
        <v>126</v>
      </c>
      <c r="E10" s="64" t="s">
        <v>127</v>
      </c>
      <c r="F10" s="59" t="s">
        <v>120</v>
      </c>
      <c r="G10" s="66">
        <v>36000</v>
      </c>
      <c r="H10" s="72"/>
    </row>
    <row r="11" spans="1:8">
      <c r="A11" s="74">
        <v>46059</v>
      </c>
      <c r="B11" s="70" t="s">
        <v>117</v>
      </c>
      <c r="C11" s="64" t="s">
        <v>128</v>
      </c>
      <c r="D11" s="64" t="s">
        <v>129</v>
      </c>
      <c r="E11" s="64" t="s">
        <v>130</v>
      </c>
      <c r="F11" s="59" t="s">
        <v>120</v>
      </c>
      <c r="G11" s="66">
        <v>20000</v>
      </c>
      <c r="H11" s="72"/>
    </row>
    <row r="12" spans="1:8">
      <c r="A12" s="74">
        <v>46060</v>
      </c>
      <c r="B12" s="70" t="s">
        <v>117</v>
      </c>
      <c r="C12" s="64" t="s">
        <v>118</v>
      </c>
      <c r="D12" s="64" t="s">
        <v>119</v>
      </c>
      <c r="E12" s="64" t="s">
        <v>124</v>
      </c>
      <c r="F12" s="59" t="s">
        <v>120</v>
      </c>
      <c r="G12" s="66">
        <v>15295</v>
      </c>
      <c r="H12" s="72"/>
    </row>
    <row r="13" spans="1:8">
      <c r="A13" s="74">
        <v>46061</v>
      </c>
      <c r="B13" s="70" t="s">
        <v>117</v>
      </c>
      <c r="C13" s="64" t="s">
        <v>121</v>
      </c>
      <c r="D13" s="64" t="s">
        <v>122</v>
      </c>
      <c r="E13" s="64" t="s">
        <v>123</v>
      </c>
      <c r="F13" s="59" t="s">
        <v>120</v>
      </c>
      <c r="G13" s="66">
        <v>100000</v>
      </c>
      <c r="H13" s="72"/>
    </row>
    <row r="14" spans="1:8">
      <c r="A14" s="74">
        <v>46062</v>
      </c>
      <c r="B14" s="70" t="s">
        <v>117</v>
      </c>
      <c r="C14" s="64" t="s">
        <v>131</v>
      </c>
      <c r="D14" s="64" t="s">
        <v>132</v>
      </c>
      <c r="E14" s="64" t="s">
        <v>133</v>
      </c>
      <c r="F14" s="59" t="s">
        <v>120</v>
      </c>
      <c r="G14" s="66">
        <v>3920</v>
      </c>
      <c r="H14" s="72"/>
    </row>
    <row r="15" spans="1:8">
      <c r="A15" s="74">
        <v>46062</v>
      </c>
      <c r="B15" s="70" t="s">
        <v>117</v>
      </c>
      <c r="C15" s="64" t="s">
        <v>118</v>
      </c>
      <c r="D15" s="64" t="s">
        <v>134</v>
      </c>
      <c r="E15" s="64" t="s">
        <v>135</v>
      </c>
      <c r="F15" s="59" t="s">
        <v>120</v>
      </c>
      <c r="G15" s="66">
        <v>118</v>
      </c>
      <c r="H15" s="72"/>
    </row>
    <row r="16" spans="1:8">
      <c r="A16" s="74">
        <v>46063</v>
      </c>
      <c r="B16" s="70" t="s">
        <v>117</v>
      </c>
      <c r="C16" s="64" t="s">
        <v>118</v>
      </c>
      <c r="D16" s="64" t="s">
        <v>119</v>
      </c>
      <c r="E16" s="64" t="s">
        <v>119</v>
      </c>
      <c r="F16" s="59" t="s">
        <v>120</v>
      </c>
      <c r="G16" s="66">
        <v>7588</v>
      </c>
      <c r="H16" s="72"/>
    </row>
    <row r="17" spans="1:8">
      <c r="A17" s="74">
        <v>46063</v>
      </c>
      <c r="B17" s="70" t="s">
        <v>117</v>
      </c>
      <c r="C17" s="64" t="s">
        <v>131</v>
      </c>
      <c r="D17" s="64" t="s">
        <v>132</v>
      </c>
      <c r="E17" s="64" t="s">
        <v>132</v>
      </c>
      <c r="F17" s="59" t="s">
        <v>120</v>
      </c>
      <c r="G17" s="66">
        <v>5000</v>
      </c>
      <c r="H17" s="72"/>
    </row>
    <row r="18" spans="1:8">
      <c r="A18" s="74">
        <v>46063</v>
      </c>
      <c r="B18" s="70" t="s">
        <v>117</v>
      </c>
      <c r="C18" s="64" t="s">
        <v>118</v>
      </c>
      <c r="D18" s="64" t="s">
        <v>136</v>
      </c>
      <c r="E18" s="64" t="s">
        <v>136</v>
      </c>
      <c r="F18" s="59" t="s">
        <v>120</v>
      </c>
      <c r="G18" s="66">
        <v>13442</v>
      </c>
      <c r="H18" s="72"/>
    </row>
    <row r="19" spans="1:8">
      <c r="A19" s="74">
        <v>46063</v>
      </c>
      <c r="B19" s="70" t="s">
        <v>117</v>
      </c>
      <c r="C19" s="64" t="s">
        <v>128</v>
      </c>
      <c r="D19" s="64" t="s">
        <v>137</v>
      </c>
      <c r="E19" s="64" t="s">
        <v>137</v>
      </c>
      <c r="F19" s="59" t="s">
        <v>120</v>
      </c>
      <c r="G19" s="66">
        <v>19000</v>
      </c>
      <c r="H19" s="72"/>
    </row>
    <row r="20" spans="1:8">
      <c r="A20" s="74">
        <v>46064</v>
      </c>
      <c r="B20" s="70" t="s">
        <v>117</v>
      </c>
      <c r="C20" s="64" t="s">
        <v>138</v>
      </c>
      <c r="D20" s="64" t="s">
        <v>139</v>
      </c>
      <c r="E20" s="64" t="s">
        <v>139</v>
      </c>
      <c r="F20" s="59" t="s">
        <v>120</v>
      </c>
      <c r="G20" s="66">
        <v>33000</v>
      </c>
      <c r="H20" s="72"/>
    </row>
    <row r="21" spans="1:8">
      <c r="A21" s="74">
        <v>46064</v>
      </c>
      <c r="B21" s="70" t="s">
        <v>117</v>
      </c>
      <c r="C21" s="64" t="s">
        <v>125</v>
      </c>
      <c r="D21" s="64" t="s">
        <v>140</v>
      </c>
      <c r="E21" s="64" t="s">
        <v>140</v>
      </c>
      <c r="F21" s="59" t="s">
        <v>120</v>
      </c>
      <c r="G21" s="66">
        <v>28400</v>
      </c>
      <c r="H21" s="72"/>
    </row>
    <row r="22" spans="1:8">
      <c r="A22" s="74">
        <v>46064</v>
      </c>
      <c r="B22" s="70" t="s">
        <v>117</v>
      </c>
      <c r="C22" s="64" t="s">
        <v>138</v>
      </c>
      <c r="D22" s="64" t="s">
        <v>141</v>
      </c>
      <c r="E22" s="64" t="s">
        <v>141</v>
      </c>
      <c r="F22" s="59" t="s">
        <v>120</v>
      </c>
      <c r="G22" s="66">
        <v>-17000</v>
      </c>
      <c r="H22" s="72"/>
    </row>
    <row r="23" spans="1:8">
      <c r="A23" s="74">
        <v>46065</v>
      </c>
      <c r="B23" s="70" t="s">
        <v>117</v>
      </c>
      <c r="C23" s="64" t="s">
        <v>121</v>
      </c>
      <c r="D23" s="64" t="s">
        <v>122</v>
      </c>
      <c r="E23" s="64" t="s">
        <v>122</v>
      </c>
      <c r="F23" s="59" t="s">
        <v>120</v>
      </c>
      <c r="G23" s="66">
        <v>90000</v>
      </c>
      <c r="H23" s="72"/>
    </row>
    <row r="24" spans="1:8">
      <c r="A24" s="74">
        <v>46065</v>
      </c>
      <c r="B24" s="70" t="s">
        <v>117</v>
      </c>
      <c r="C24" s="64" t="s">
        <v>118</v>
      </c>
      <c r="D24" s="64" t="s">
        <v>119</v>
      </c>
      <c r="E24" s="64" t="s">
        <v>119</v>
      </c>
      <c r="F24" s="59" t="s">
        <v>120</v>
      </c>
      <c r="G24" s="66">
        <v>3494</v>
      </c>
      <c r="H24" s="72"/>
    </row>
    <row r="25" spans="1:8">
      <c r="A25" s="74">
        <v>46066</v>
      </c>
      <c r="B25" s="70" t="s">
        <v>117</v>
      </c>
      <c r="C25" s="64" t="s">
        <v>118</v>
      </c>
      <c r="D25" s="64" t="s">
        <v>119</v>
      </c>
      <c r="E25" s="64" t="s">
        <v>119</v>
      </c>
      <c r="F25" s="59" t="s">
        <v>120</v>
      </c>
      <c r="G25" s="66">
        <v>5456</v>
      </c>
      <c r="H25" s="72"/>
    </row>
    <row r="26" spans="1:8">
      <c r="A26" s="74">
        <v>46069</v>
      </c>
      <c r="B26" s="70" t="s">
        <v>117</v>
      </c>
      <c r="C26" s="64" t="s">
        <v>118</v>
      </c>
      <c r="D26" s="64" t="s">
        <v>142</v>
      </c>
      <c r="E26" s="64" t="s">
        <v>142</v>
      </c>
      <c r="F26" s="59" t="s">
        <v>120</v>
      </c>
      <c r="G26" s="66">
        <v>-40000</v>
      </c>
      <c r="H26" s="72"/>
    </row>
    <row r="27" spans="1:8">
      <c r="A27" s="74">
        <v>46070</v>
      </c>
      <c r="B27" s="70" t="s">
        <v>117</v>
      </c>
      <c r="C27" s="64" t="s">
        <v>118</v>
      </c>
      <c r="D27" s="64" t="s">
        <v>119</v>
      </c>
      <c r="E27" s="64" t="s">
        <v>119</v>
      </c>
      <c r="F27" s="59" t="s">
        <v>120</v>
      </c>
      <c r="G27" s="66">
        <v>4652</v>
      </c>
      <c r="H27" s="72"/>
    </row>
    <row r="28" spans="1:8">
      <c r="A28" s="74">
        <v>46070</v>
      </c>
      <c r="B28" s="70" t="s">
        <v>117</v>
      </c>
      <c r="C28" s="64" t="s">
        <v>121</v>
      </c>
      <c r="D28" s="64" t="s">
        <v>143</v>
      </c>
      <c r="E28" s="64" t="s">
        <v>143</v>
      </c>
      <c r="F28" s="59" t="s">
        <v>120</v>
      </c>
      <c r="G28" s="66">
        <v>90000</v>
      </c>
      <c r="H28" s="72"/>
    </row>
    <row r="29" spans="1:8">
      <c r="A29" s="74">
        <v>46070</v>
      </c>
      <c r="B29" s="70" t="s">
        <v>117</v>
      </c>
      <c r="C29" s="64" t="s">
        <v>118</v>
      </c>
      <c r="D29" s="64" t="s">
        <v>144</v>
      </c>
      <c r="E29" s="64" t="s">
        <v>144</v>
      </c>
      <c r="F29" s="59" t="s">
        <v>120</v>
      </c>
      <c r="G29" s="66">
        <v>11081</v>
      </c>
      <c r="H29" s="72"/>
    </row>
    <row r="30" spans="1:8">
      <c r="A30" s="74">
        <v>46070</v>
      </c>
      <c r="B30" s="70" t="s">
        <v>117</v>
      </c>
      <c r="C30" s="64" t="s">
        <v>118</v>
      </c>
      <c r="D30" s="64" t="s">
        <v>142</v>
      </c>
      <c r="E30" s="64" t="s">
        <v>142</v>
      </c>
      <c r="F30" s="59" t="s">
        <v>120</v>
      </c>
      <c r="G30" s="66">
        <v>-40000</v>
      </c>
      <c r="H30" s="72"/>
    </row>
    <row r="31" spans="1:8">
      <c r="A31" s="74">
        <v>46074</v>
      </c>
      <c r="B31" s="70" t="s">
        <v>117</v>
      </c>
      <c r="C31" s="64" t="s">
        <v>125</v>
      </c>
      <c r="D31" s="64" t="s">
        <v>145</v>
      </c>
      <c r="E31" s="64" t="s">
        <v>145</v>
      </c>
      <c r="F31" s="59" t="s">
        <v>120</v>
      </c>
      <c r="G31" s="66">
        <v>33000</v>
      </c>
      <c r="H31" s="72"/>
    </row>
    <row r="32" spans="1:8">
      <c r="A32" s="74">
        <v>46074</v>
      </c>
      <c r="B32" s="70" t="s">
        <v>117</v>
      </c>
      <c r="C32" s="64" t="s">
        <v>118</v>
      </c>
      <c r="D32" s="64" t="s">
        <v>119</v>
      </c>
      <c r="E32" s="64" t="s">
        <v>119</v>
      </c>
      <c r="F32" s="59" t="s">
        <v>120</v>
      </c>
      <c r="G32" s="66">
        <v>-1000</v>
      </c>
      <c r="H32" s="72"/>
    </row>
    <row r="33" spans="1:8">
      <c r="A33" s="74">
        <v>46074</v>
      </c>
      <c r="B33" s="70" t="s">
        <v>117</v>
      </c>
      <c r="C33" s="64" t="s">
        <v>118</v>
      </c>
      <c r="D33" s="64" t="s">
        <v>119</v>
      </c>
      <c r="E33" s="64" t="s">
        <v>119</v>
      </c>
      <c r="F33" s="59" t="s">
        <v>120</v>
      </c>
      <c r="G33" s="66">
        <v>2720</v>
      </c>
      <c r="H33" s="72"/>
    </row>
    <row r="34" spans="1:8">
      <c r="A34" s="74">
        <v>46074</v>
      </c>
      <c r="B34" s="70" t="s">
        <v>117</v>
      </c>
      <c r="C34" s="64" t="s">
        <v>118</v>
      </c>
      <c r="D34" s="64" t="s">
        <v>119</v>
      </c>
      <c r="E34" s="64" t="s">
        <v>119</v>
      </c>
      <c r="F34" s="59" t="s">
        <v>120</v>
      </c>
      <c r="G34" s="66">
        <v>6644</v>
      </c>
      <c r="H34" s="72"/>
    </row>
    <row r="35" spans="1:8">
      <c r="A35" s="74">
        <v>46076</v>
      </c>
      <c r="B35" s="70" t="s">
        <v>117</v>
      </c>
      <c r="C35" s="64" t="s">
        <v>118</v>
      </c>
      <c r="D35" s="64" t="s">
        <v>119</v>
      </c>
      <c r="E35" s="64" t="s">
        <v>119</v>
      </c>
      <c r="F35" s="59" t="s">
        <v>120</v>
      </c>
      <c r="G35" s="66">
        <v>7850</v>
      </c>
      <c r="H35" s="72"/>
    </row>
    <row r="36" spans="1:8">
      <c r="A36" s="74">
        <v>46076</v>
      </c>
      <c r="B36" s="70" t="s">
        <v>117</v>
      </c>
      <c r="C36" s="64" t="s">
        <v>125</v>
      </c>
      <c r="D36" s="64" t="s">
        <v>140</v>
      </c>
      <c r="E36" s="64" t="s">
        <v>140</v>
      </c>
      <c r="F36" s="59" t="s">
        <v>120</v>
      </c>
      <c r="G36" s="66">
        <v>23300</v>
      </c>
      <c r="H36" s="72"/>
    </row>
    <row r="37" spans="1:8">
      <c r="A37" s="74">
        <v>46078</v>
      </c>
      <c r="B37" s="70" t="s">
        <v>117</v>
      </c>
      <c r="C37" s="64" t="s">
        <v>131</v>
      </c>
      <c r="D37" s="64" t="s">
        <v>132</v>
      </c>
      <c r="E37" s="64" t="s">
        <v>146</v>
      </c>
      <c r="F37" s="59" t="s">
        <v>120</v>
      </c>
      <c r="G37" s="66">
        <v>4000</v>
      </c>
      <c r="H37" s="72"/>
    </row>
    <row r="38" spans="1:8">
      <c r="A38" s="74">
        <v>46078</v>
      </c>
      <c r="B38" s="70" t="s">
        <v>117</v>
      </c>
      <c r="C38" s="64" t="s">
        <v>121</v>
      </c>
      <c r="D38" s="64" t="s">
        <v>147</v>
      </c>
      <c r="E38" s="64" t="s">
        <v>147</v>
      </c>
      <c r="F38" s="59" t="s">
        <v>120</v>
      </c>
      <c r="G38" s="66">
        <v>100000</v>
      </c>
      <c r="H38" s="72"/>
    </row>
    <row r="39" spans="1:8">
      <c r="A39" s="74">
        <v>46078</v>
      </c>
      <c r="B39" s="70" t="s">
        <v>117</v>
      </c>
      <c r="C39" s="64" t="s">
        <v>148</v>
      </c>
      <c r="D39" s="64" t="s">
        <v>129</v>
      </c>
      <c r="E39" s="64" t="s">
        <v>149</v>
      </c>
      <c r="F39" s="59" t="s">
        <v>120</v>
      </c>
      <c r="G39" s="66">
        <v>11000</v>
      </c>
      <c r="H39" s="72"/>
    </row>
    <row r="40" spans="1:8">
      <c r="A40" s="74">
        <v>46078</v>
      </c>
      <c r="B40" s="70" t="s">
        <v>117</v>
      </c>
      <c r="C40" s="64" t="s">
        <v>128</v>
      </c>
      <c r="D40" s="64" t="s">
        <v>150</v>
      </c>
      <c r="E40" s="64" t="s">
        <v>128</v>
      </c>
      <c r="F40" s="59" t="s">
        <v>120</v>
      </c>
      <c r="G40" s="66">
        <v>800</v>
      </c>
      <c r="H40" s="72"/>
    </row>
    <row r="41" spans="1:8">
      <c r="A41" s="74">
        <v>46081</v>
      </c>
      <c r="B41" s="70" t="s">
        <v>117</v>
      </c>
      <c r="C41" s="64" t="s">
        <v>118</v>
      </c>
      <c r="D41" s="64" t="s">
        <v>144</v>
      </c>
      <c r="E41" s="64" t="s">
        <v>118</v>
      </c>
      <c r="F41" s="59" t="s">
        <v>120</v>
      </c>
      <c r="G41" s="66">
        <v>11557</v>
      </c>
      <c r="H41" s="72"/>
    </row>
  </sheetData>
  <mergeCells count="4">
    <mergeCell ref="A2:F2"/>
    <mergeCell ref="G2:H2"/>
    <mergeCell ref="A3:H3"/>
    <mergeCell ref="A1:H1"/>
  </mergeCells>
  <phoneticPr fontId="1" type="noConversion"/>
  <pageMargins left="0.7" right="0.7" top="0.75" bottom="0.75" header="0.3" footer="0.3"/>
  <pageSetup paperSize="9" scale="7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1:G51"/>
  <sheetViews>
    <sheetView view="pageBreakPreview" zoomScale="85" zoomScaleNormal="85" zoomScaleSheetLayoutView="85" workbookViewId="0">
      <selection activeCell="I39" sqref="I39"/>
    </sheetView>
  </sheetViews>
  <sheetFormatPr baseColWidth="10" defaultColWidth="8.83203125" defaultRowHeight="17"/>
  <cols>
    <col min="1" max="1" width="11.6640625" style="5" bestFit="1" customWidth="1"/>
    <col min="2" max="2" width="13.6640625" style="4" customWidth="1"/>
    <col min="3" max="3" width="15.1640625" style="4" bestFit="1" customWidth="1"/>
    <col min="4" max="4" width="14" customWidth="1"/>
    <col min="5" max="5" width="13.1640625" style="5" customWidth="1"/>
    <col min="6" max="7" width="10.5" style="5" bestFit="1" customWidth="1"/>
  </cols>
  <sheetData>
    <row r="1" spans="1:7" s="57" customFormat="1" ht="27">
      <c r="A1" s="88" t="s">
        <v>108</v>
      </c>
      <c r="B1" s="89"/>
      <c r="C1" s="89"/>
      <c r="D1" s="89"/>
      <c r="E1" s="89"/>
      <c r="F1" s="89"/>
      <c r="G1" s="89"/>
    </row>
    <row r="2" spans="1:7" ht="21" customHeight="1">
      <c r="A2" s="83" t="s">
        <v>109</v>
      </c>
      <c r="B2" s="83"/>
      <c r="C2" s="83"/>
      <c r="D2" s="83"/>
      <c r="E2" s="83"/>
      <c r="F2" s="90">
        <f>SUM(F5:F34)</f>
        <v>0</v>
      </c>
      <c r="G2" s="91"/>
    </row>
    <row r="3" spans="1:7">
      <c r="A3" s="92" t="s">
        <v>110</v>
      </c>
      <c r="B3" s="93"/>
      <c r="C3" s="93"/>
      <c r="D3" s="93"/>
      <c r="E3" s="93"/>
      <c r="F3" s="93"/>
      <c r="G3" s="93"/>
    </row>
    <row r="4" spans="1:7">
      <c r="A4" s="58" t="s">
        <v>13</v>
      </c>
      <c r="B4" s="65" t="s">
        <v>112</v>
      </c>
      <c r="C4" s="65" t="s">
        <v>111</v>
      </c>
      <c r="D4" s="65" t="s">
        <v>114</v>
      </c>
      <c r="E4" s="58" t="s">
        <v>80</v>
      </c>
      <c r="F4" s="58" t="s">
        <v>58</v>
      </c>
      <c r="G4" s="58" t="s">
        <v>76</v>
      </c>
    </row>
    <row r="5" spans="1:7">
      <c r="A5" s="60"/>
      <c r="B5" s="64"/>
      <c r="C5" s="64"/>
      <c r="D5" s="64"/>
      <c r="E5" s="59"/>
      <c r="F5" s="66"/>
      <c r="G5" s="68"/>
    </row>
    <row r="6" spans="1:7">
      <c r="A6" s="60"/>
      <c r="B6" s="64"/>
      <c r="C6" s="64"/>
      <c r="D6" s="64"/>
      <c r="E6" s="59"/>
      <c r="F6" s="66"/>
      <c r="G6" s="68"/>
    </row>
    <row r="7" spans="1:7">
      <c r="A7" s="60"/>
      <c r="B7" s="64"/>
      <c r="C7" s="64"/>
      <c r="D7" s="64"/>
      <c r="E7" s="59"/>
      <c r="F7" s="66"/>
      <c r="G7" s="68"/>
    </row>
    <row r="8" spans="1:7">
      <c r="A8" s="60"/>
      <c r="B8" s="64"/>
      <c r="C8" s="64"/>
      <c r="D8" s="64"/>
      <c r="E8" s="59"/>
      <c r="F8" s="66"/>
      <c r="G8" s="68"/>
    </row>
    <row r="9" spans="1:7">
      <c r="A9" s="60"/>
      <c r="B9" s="64"/>
      <c r="C9" s="64"/>
      <c r="D9" s="64"/>
      <c r="E9" s="59"/>
      <c r="F9" s="66"/>
      <c r="G9" s="68"/>
    </row>
    <row r="10" spans="1:7">
      <c r="A10" s="60"/>
      <c r="B10" s="64"/>
      <c r="C10" s="64"/>
      <c r="D10" s="64"/>
      <c r="E10" s="59"/>
      <c r="F10" s="66"/>
      <c r="G10" s="68"/>
    </row>
    <row r="11" spans="1:7">
      <c r="A11" s="60"/>
      <c r="B11" s="64"/>
      <c r="C11" s="64"/>
      <c r="D11" s="64"/>
      <c r="E11" s="59"/>
      <c r="F11" s="66"/>
      <c r="G11" s="68"/>
    </row>
    <row r="12" spans="1:7">
      <c r="A12" s="60"/>
      <c r="B12" s="64"/>
      <c r="C12" s="64"/>
      <c r="D12" s="64"/>
      <c r="E12" s="59"/>
      <c r="F12" s="66"/>
      <c r="G12" s="68"/>
    </row>
    <row r="13" spans="1:7">
      <c r="A13" s="60"/>
      <c r="B13" s="64"/>
      <c r="C13" s="64"/>
      <c r="D13" s="64"/>
      <c r="E13" s="59"/>
      <c r="F13" s="66"/>
      <c r="G13" s="68"/>
    </row>
    <row r="14" spans="1:7">
      <c r="A14" s="60"/>
      <c r="B14" s="64"/>
      <c r="C14" s="64"/>
      <c r="D14" s="64"/>
      <c r="E14" s="59"/>
      <c r="F14" s="66"/>
      <c r="G14" s="68"/>
    </row>
    <row r="15" spans="1:7">
      <c r="A15" s="60"/>
      <c r="B15" s="64"/>
      <c r="C15" s="64"/>
      <c r="D15" s="64"/>
      <c r="E15" s="59"/>
      <c r="F15" s="66"/>
      <c r="G15" s="66"/>
    </row>
    <row r="16" spans="1:7">
      <c r="A16" s="60"/>
      <c r="B16" s="64"/>
      <c r="C16" s="64"/>
      <c r="D16" s="64"/>
      <c r="E16" s="59"/>
      <c r="F16" s="66"/>
      <c r="G16" s="66"/>
    </row>
    <row r="17" spans="1:7">
      <c r="A17" s="60"/>
      <c r="B17" s="64"/>
      <c r="C17" s="64"/>
      <c r="D17" s="64"/>
      <c r="E17" s="59"/>
      <c r="F17" s="66"/>
      <c r="G17" s="66"/>
    </row>
    <row r="18" spans="1:7">
      <c r="A18" s="60"/>
      <c r="B18" s="64"/>
      <c r="C18" s="64"/>
      <c r="D18" s="64"/>
      <c r="E18" s="59"/>
      <c r="F18" s="66"/>
      <c r="G18" s="66"/>
    </row>
    <row r="19" spans="1:7">
      <c r="A19" s="60"/>
      <c r="B19" s="64"/>
      <c r="C19" s="64"/>
      <c r="D19" s="64"/>
      <c r="E19" s="59"/>
      <c r="F19" s="66"/>
      <c r="G19" s="66"/>
    </row>
    <row r="20" spans="1:7">
      <c r="A20" s="60"/>
      <c r="B20" s="64"/>
      <c r="C20" s="64"/>
      <c r="D20" s="64"/>
      <c r="E20" s="59"/>
      <c r="F20" s="66"/>
      <c r="G20" s="66"/>
    </row>
    <row r="21" spans="1:7">
      <c r="A21" s="60"/>
      <c r="B21" s="64"/>
      <c r="C21" s="64"/>
      <c r="D21" s="64"/>
      <c r="E21" s="59"/>
      <c r="F21" s="66"/>
      <c r="G21" s="66"/>
    </row>
    <row r="22" spans="1:7">
      <c r="A22" s="60"/>
      <c r="B22" s="64"/>
      <c r="C22" s="64"/>
      <c r="D22" s="64"/>
      <c r="E22" s="59"/>
      <c r="F22" s="66"/>
      <c r="G22" s="66"/>
    </row>
    <row r="23" spans="1:7">
      <c r="A23" s="60"/>
      <c r="B23" s="64"/>
      <c r="C23" s="64"/>
      <c r="D23" s="64"/>
      <c r="E23" s="59"/>
      <c r="F23" s="66"/>
      <c r="G23" s="66"/>
    </row>
    <row r="24" spans="1:7">
      <c r="A24" s="60"/>
      <c r="B24" s="64"/>
      <c r="C24" s="64"/>
      <c r="D24" s="64"/>
      <c r="E24" s="59"/>
      <c r="F24" s="66"/>
      <c r="G24" s="66"/>
    </row>
    <row r="25" spans="1:7">
      <c r="A25" s="60"/>
      <c r="B25" s="64"/>
      <c r="C25" s="64"/>
      <c r="D25" s="64"/>
      <c r="E25" s="59"/>
      <c r="F25" s="66"/>
      <c r="G25" s="66"/>
    </row>
    <row r="26" spans="1:7">
      <c r="A26" s="60"/>
      <c r="B26" s="64"/>
      <c r="C26" s="64"/>
      <c r="D26" s="64"/>
      <c r="E26" s="59"/>
      <c r="F26" s="66"/>
      <c r="G26" s="66"/>
    </row>
    <row r="27" spans="1:7">
      <c r="A27" s="60"/>
      <c r="B27" s="64"/>
      <c r="C27" s="64"/>
      <c r="D27" s="64"/>
      <c r="E27" s="59"/>
      <c r="F27" s="66"/>
      <c r="G27" s="66"/>
    </row>
    <row r="28" spans="1:7">
      <c r="A28" s="60"/>
      <c r="B28" s="64"/>
      <c r="C28" s="64"/>
      <c r="D28" s="64"/>
      <c r="E28" s="59"/>
      <c r="F28" s="66"/>
      <c r="G28" s="66"/>
    </row>
    <row r="29" spans="1:7">
      <c r="A29" s="60"/>
      <c r="B29" s="64"/>
      <c r="C29" s="64"/>
      <c r="D29" s="64"/>
      <c r="E29" s="59"/>
      <c r="F29" s="66"/>
      <c r="G29" s="66"/>
    </row>
    <row r="30" spans="1:7">
      <c r="A30" s="60"/>
      <c r="B30" s="64"/>
      <c r="C30" s="64"/>
      <c r="D30" s="64"/>
      <c r="E30" s="59"/>
      <c r="F30" s="66"/>
      <c r="G30" s="66"/>
    </row>
    <row r="31" spans="1:7">
      <c r="A31" s="60"/>
      <c r="B31" s="64"/>
      <c r="C31" s="64"/>
      <c r="D31" s="64"/>
      <c r="E31" s="59"/>
      <c r="F31" s="66"/>
      <c r="G31" s="66"/>
    </row>
    <row r="32" spans="1:7">
      <c r="A32" s="60"/>
      <c r="B32" s="64"/>
      <c r="C32" s="64"/>
      <c r="D32" s="64"/>
      <c r="E32" s="59"/>
      <c r="F32" s="66"/>
      <c r="G32" s="66"/>
    </row>
    <row r="33" spans="1:7">
      <c r="A33" s="60"/>
      <c r="B33" s="64"/>
      <c r="C33" s="64"/>
      <c r="D33" s="64"/>
      <c r="E33" s="59"/>
      <c r="F33" s="66"/>
      <c r="G33" s="66"/>
    </row>
    <row r="34" spans="1:7">
      <c r="A34" s="59"/>
      <c r="B34" s="64"/>
      <c r="C34" s="64"/>
      <c r="D34" s="64"/>
      <c r="E34" s="59"/>
      <c r="F34" s="67"/>
      <c r="G34" s="67"/>
    </row>
    <row r="35" spans="1:7">
      <c r="A35" s="31"/>
      <c r="B35" s="63"/>
      <c r="C35" s="63"/>
      <c r="D35" s="63"/>
      <c r="E35" s="31"/>
      <c r="F35" s="56"/>
      <c r="G35" s="56"/>
    </row>
    <row r="36" spans="1:7">
      <c r="A36" s="4"/>
      <c r="B36" s="10"/>
      <c r="C36" s="10"/>
      <c r="D36" s="10"/>
      <c r="E36" s="4"/>
    </row>
    <row r="37" spans="1:7">
      <c r="A37" s="4"/>
      <c r="D37" s="4"/>
      <c r="E37" s="4"/>
    </row>
    <row r="38" spans="1:7">
      <c r="A38" s="4"/>
      <c r="D38" s="4"/>
      <c r="E38" s="4"/>
    </row>
    <row r="39" spans="1:7">
      <c r="A39" s="4"/>
      <c r="D39" s="4"/>
      <c r="E39" s="4"/>
    </row>
    <row r="40" spans="1:7">
      <c r="A40" s="4"/>
      <c r="D40" s="4"/>
      <c r="E40" s="4"/>
    </row>
    <row r="41" spans="1:7">
      <c r="A41" s="4"/>
      <c r="D41" s="4"/>
      <c r="E41" s="4"/>
    </row>
    <row r="42" spans="1:7">
      <c r="A42" s="4"/>
      <c r="D42" s="4"/>
      <c r="E42" s="4"/>
    </row>
    <row r="43" spans="1:7">
      <c r="A43" s="4"/>
      <c r="D43" s="4"/>
      <c r="E43" s="4"/>
    </row>
    <row r="44" spans="1:7">
      <c r="D44" s="4"/>
      <c r="E44" s="4"/>
    </row>
    <row r="45" spans="1:7">
      <c r="D45" s="4"/>
      <c r="E45" s="4"/>
    </row>
    <row r="46" spans="1:7">
      <c r="D46" s="4"/>
      <c r="E46" s="4"/>
    </row>
    <row r="47" spans="1:7">
      <c r="D47" s="4"/>
      <c r="E47" s="4"/>
    </row>
    <row r="48" spans="1:7">
      <c r="D48" s="4"/>
      <c r="E48" s="4"/>
    </row>
    <row r="49" spans="4:5">
      <c r="D49" s="4"/>
      <c r="E49" s="4"/>
    </row>
    <row r="50" spans="4:5">
      <c r="D50" s="4"/>
      <c r="E50" s="4"/>
    </row>
    <row r="51" spans="4:5">
      <c r="D51" s="4"/>
      <c r="E51" s="4"/>
    </row>
  </sheetData>
  <mergeCells count="4">
    <mergeCell ref="A2:E2"/>
    <mergeCell ref="A1:G1"/>
    <mergeCell ref="F2:G2"/>
    <mergeCell ref="A3:G3"/>
  </mergeCells>
  <phoneticPr fontId="1" type="noConversion"/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workbookViewId="0">
      <selection activeCell="H23" sqref="H23"/>
    </sheetView>
  </sheetViews>
  <sheetFormatPr baseColWidth="10" defaultColWidth="8.83203125" defaultRowHeight="17"/>
  <cols>
    <col min="1" max="1" width="10.5" bestFit="1" customWidth="1"/>
    <col min="2" max="2" width="15.5" bestFit="1" customWidth="1"/>
    <col min="3" max="3" width="8.6640625" bestFit="1" customWidth="1"/>
    <col min="4" max="4" width="15.33203125" customWidth="1"/>
    <col min="5" max="5" width="5.6640625" bestFit="1" customWidth="1"/>
    <col min="6" max="6" width="13.6640625" bestFit="1" customWidth="1"/>
    <col min="7" max="7" width="5.1640625" bestFit="1" customWidth="1"/>
    <col min="8" max="8" width="18.83203125" bestFit="1" customWidth="1"/>
    <col min="9" max="9" width="18.6640625" customWidth="1"/>
  </cols>
  <sheetData>
    <row r="1" spans="1:9">
      <c r="A1" s="32"/>
      <c r="B1" s="32"/>
      <c r="C1" s="3"/>
      <c r="D1" s="3"/>
      <c r="E1" s="3"/>
      <c r="F1" s="3"/>
      <c r="G1" s="3"/>
      <c r="H1" s="3"/>
      <c r="I1" s="3"/>
    </row>
    <row r="2" spans="1:9" ht="30">
      <c r="A2" s="102" t="s">
        <v>30</v>
      </c>
      <c r="B2" s="102"/>
      <c r="C2" s="102"/>
      <c r="D2" s="102"/>
      <c r="E2" s="102"/>
      <c r="F2" s="102"/>
      <c r="G2" s="3"/>
      <c r="H2" s="3"/>
      <c r="I2" s="3"/>
    </row>
    <row r="3" spans="1:9" ht="18" thickBot="1">
      <c r="A3" s="32"/>
      <c r="B3" s="62"/>
      <c r="C3" s="3"/>
      <c r="D3" s="3"/>
      <c r="E3" s="3"/>
      <c r="F3" s="3"/>
      <c r="G3" s="3"/>
      <c r="H3" s="3"/>
      <c r="I3" s="42" t="s">
        <v>31</v>
      </c>
    </row>
    <row r="4" spans="1:9">
      <c r="A4" s="103" t="s">
        <v>33</v>
      </c>
      <c r="B4" s="106" t="s">
        <v>34</v>
      </c>
      <c r="C4" s="109" t="s">
        <v>32</v>
      </c>
      <c r="D4" s="110"/>
      <c r="E4" s="110"/>
      <c r="F4" s="110"/>
      <c r="G4" s="111"/>
      <c r="H4" s="98" t="s">
        <v>102</v>
      </c>
      <c r="I4" s="99"/>
    </row>
    <row r="5" spans="1:9" ht="18">
      <c r="A5" s="104"/>
      <c r="B5" s="107"/>
      <c r="C5" s="112"/>
      <c r="D5" s="113"/>
      <c r="E5" s="113"/>
      <c r="F5" s="113"/>
      <c r="G5" s="114"/>
      <c r="H5" s="54" t="s">
        <v>98</v>
      </c>
      <c r="I5" s="55" t="s">
        <v>99</v>
      </c>
    </row>
    <row r="6" spans="1:9">
      <c r="A6" s="105"/>
      <c r="B6" s="108"/>
      <c r="C6" s="43" t="s">
        <v>3</v>
      </c>
      <c r="D6" s="35" t="s">
        <v>83</v>
      </c>
      <c r="E6" s="35" t="s">
        <v>82</v>
      </c>
      <c r="F6" s="35" t="s">
        <v>81</v>
      </c>
      <c r="G6" s="35" t="s">
        <v>4</v>
      </c>
      <c r="H6" s="100" t="s">
        <v>35</v>
      </c>
      <c r="I6" s="101"/>
    </row>
    <row r="7" spans="1:9">
      <c r="A7" s="34" t="s">
        <v>36</v>
      </c>
      <c r="B7" s="44" t="s">
        <v>37</v>
      </c>
      <c r="C7" s="115" t="s">
        <v>38</v>
      </c>
      <c r="D7" s="115"/>
      <c r="E7" s="115"/>
      <c r="F7" s="115"/>
      <c r="G7" s="115"/>
      <c r="H7" s="37" t="s">
        <v>39</v>
      </c>
      <c r="I7" s="38" t="s">
        <v>38</v>
      </c>
    </row>
    <row r="8" spans="1:9">
      <c r="A8" s="34" t="s">
        <v>40</v>
      </c>
      <c r="B8" s="36" t="s">
        <v>2</v>
      </c>
      <c r="C8" s="115" t="s">
        <v>41</v>
      </c>
      <c r="D8" s="115"/>
      <c r="E8" s="115"/>
      <c r="F8" s="115"/>
      <c r="G8" s="115"/>
      <c r="H8" s="39" t="s">
        <v>42</v>
      </c>
      <c r="I8" s="38" t="s">
        <v>41</v>
      </c>
    </row>
    <row r="9" spans="1:9">
      <c r="A9" s="34" t="s">
        <v>43</v>
      </c>
      <c r="B9" s="36" t="s">
        <v>44</v>
      </c>
      <c r="C9" s="115" t="s">
        <v>42</v>
      </c>
      <c r="D9" s="115"/>
      <c r="E9" s="115"/>
      <c r="F9" s="115"/>
      <c r="G9" s="115"/>
      <c r="H9" s="39" t="s">
        <v>45</v>
      </c>
      <c r="I9" s="44" t="s">
        <v>50</v>
      </c>
    </row>
    <row r="10" spans="1:9" ht="18" thickBot="1">
      <c r="A10" s="45" t="s">
        <v>46</v>
      </c>
      <c r="B10" s="46" t="s">
        <v>47</v>
      </c>
      <c r="C10" s="116" t="s">
        <v>48</v>
      </c>
      <c r="D10" s="116"/>
      <c r="E10" s="116"/>
      <c r="F10" s="116"/>
      <c r="G10" s="116"/>
      <c r="H10" s="40"/>
      <c r="I10" s="41"/>
    </row>
    <row r="11" spans="1:9">
      <c r="A11" s="33"/>
      <c r="B11" s="33"/>
      <c r="C11" s="3"/>
      <c r="D11" s="3"/>
      <c r="E11" s="3"/>
      <c r="F11" s="3"/>
      <c r="G11" s="3"/>
      <c r="H11" s="3"/>
      <c r="I11" s="3"/>
    </row>
    <row r="12" spans="1:9">
      <c r="A12" s="95" t="s">
        <v>49</v>
      </c>
      <c r="B12" s="95"/>
      <c r="C12" s="95"/>
      <c r="D12" s="95"/>
      <c r="E12" s="95"/>
      <c r="F12" s="95"/>
      <c r="G12" s="3"/>
      <c r="H12" s="3"/>
      <c r="I12" s="3"/>
    </row>
    <row r="13" spans="1:9">
      <c r="A13" s="95" t="s">
        <v>89</v>
      </c>
      <c r="B13" s="95"/>
      <c r="C13" s="95"/>
      <c r="D13" s="95"/>
      <c r="E13" s="95"/>
      <c r="F13" s="95"/>
      <c r="G13" s="3"/>
      <c r="H13" s="3"/>
      <c r="I13" s="3"/>
    </row>
    <row r="14" spans="1:9">
      <c r="A14" s="95" t="s">
        <v>90</v>
      </c>
      <c r="B14" s="95"/>
      <c r="C14" s="95"/>
      <c r="D14" s="95"/>
      <c r="E14" s="95"/>
      <c r="F14" s="95"/>
      <c r="G14" s="3"/>
      <c r="H14" s="3"/>
      <c r="I14" s="3"/>
    </row>
    <row r="15" spans="1:9">
      <c r="A15" s="95" t="s">
        <v>104</v>
      </c>
      <c r="B15" s="95"/>
      <c r="C15" s="95"/>
      <c r="D15" s="95"/>
      <c r="E15" s="95"/>
      <c r="F15" s="95"/>
      <c r="G15" s="3"/>
      <c r="H15" s="3"/>
      <c r="I15" s="3"/>
    </row>
    <row r="16" spans="1:9">
      <c r="A16" s="95" t="s">
        <v>107</v>
      </c>
      <c r="B16" s="95"/>
      <c r="C16" s="95"/>
      <c r="D16" s="95"/>
      <c r="E16" s="95"/>
      <c r="F16" s="95"/>
      <c r="G16" s="3"/>
      <c r="H16" s="3"/>
      <c r="I16" s="3"/>
    </row>
    <row r="17" spans="1:9">
      <c r="A17" s="96" t="s">
        <v>91</v>
      </c>
      <c r="B17" s="3" t="s">
        <v>51</v>
      </c>
      <c r="C17" s="97" t="s">
        <v>88</v>
      </c>
      <c r="D17" s="97"/>
      <c r="E17" s="3"/>
      <c r="F17" s="3"/>
      <c r="G17" s="3"/>
      <c r="H17" s="3"/>
      <c r="I17" s="3"/>
    </row>
    <row r="18" spans="1:9">
      <c r="A18" s="96"/>
      <c r="B18" s="3" t="s">
        <v>52</v>
      </c>
      <c r="C18" s="97" t="s">
        <v>86</v>
      </c>
      <c r="D18" s="97"/>
      <c r="E18" s="3"/>
      <c r="F18" s="3"/>
      <c r="G18" s="3"/>
      <c r="H18" s="3"/>
      <c r="I18" s="3"/>
    </row>
    <row r="19" spans="1:9">
      <c r="A19" s="96"/>
      <c r="B19" s="3" t="s">
        <v>53</v>
      </c>
      <c r="C19" s="97" t="s">
        <v>87</v>
      </c>
      <c r="D19" s="97"/>
      <c r="E19" s="3"/>
      <c r="F19" s="3"/>
      <c r="G19" s="3"/>
      <c r="H19" s="3"/>
      <c r="I19" s="3"/>
    </row>
    <row r="20" spans="1:9">
      <c r="A20" s="96"/>
      <c r="B20" s="3" t="s">
        <v>84</v>
      </c>
      <c r="C20" s="97" t="s">
        <v>85</v>
      </c>
      <c r="D20" s="97"/>
      <c r="E20" s="3"/>
      <c r="F20" s="3"/>
      <c r="G20" s="3"/>
      <c r="H20" s="3"/>
      <c r="I20" s="3"/>
    </row>
    <row r="21" spans="1:9">
      <c r="A21" s="47"/>
      <c r="B21" s="47"/>
      <c r="C21" s="48"/>
      <c r="D21" s="48"/>
      <c r="E21" s="48"/>
      <c r="F21" s="48"/>
      <c r="G21" s="48"/>
      <c r="H21" s="3"/>
      <c r="I21" s="3"/>
    </row>
    <row r="22" spans="1:9">
      <c r="A22" s="94" t="s">
        <v>100</v>
      </c>
      <c r="B22" s="94"/>
      <c r="C22" s="53" t="s">
        <v>94</v>
      </c>
      <c r="D22" s="49" t="s">
        <v>92</v>
      </c>
      <c r="E22" s="50" t="s">
        <v>95</v>
      </c>
      <c r="F22" s="50" t="s">
        <v>93</v>
      </c>
      <c r="G22" s="48"/>
      <c r="H22" s="3"/>
      <c r="I22" s="3"/>
    </row>
    <row r="23" spans="1:9">
      <c r="A23" s="94" t="s">
        <v>101</v>
      </c>
      <c r="B23" s="94"/>
      <c r="C23" s="61"/>
      <c r="D23" s="51"/>
      <c r="E23" s="51"/>
      <c r="F23" s="51"/>
      <c r="G23" s="48"/>
      <c r="H23" s="3"/>
      <c r="I23" s="3"/>
    </row>
    <row r="24" spans="1:9">
      <c r="A24" s="32"/>
      <c r="B24" s="32"/>
      <c r="C24" s="51"/>
      <c r="D24" s="52" t="s">
        <v>105</v>
      </c>
      <c r="E24" s="51"/>
      <c r="F24" s="51"/>
      <c r="G24" s="48"/>
      <c r="H24" s="3"/>
      <c r="I24" s="3"/>
    </row>
    <row r="25" spans="1:9">
      <c r="A25" s="61"/>
      <c r="B25" s="32"/>
      <c r="C25" s="48"/>
      <c r="D25" s="48"/>
      <c r="E25" s="48"/>
      <c r="F25" s="48"/>
      <c r="G25" s="48"/>
      <c r="H25" s="3"/>
      <c r="I25" s="3"/>
    </row>
    <row r="26" spans="1:9">
      <c r="A26" s="94" t="s">
        <v>103</v>
      </c>
      <c r="B26" s="94"/>
      <c r="C26" s="53" t="s">
        <v>94</v>
      </c>
      <c r="D26" s="49" t="s">
        <v>92</v>
      </c>
      <c r="E26" s="50" t="s">
        <v>95</v>
      </c>
      <c r="F26" s="50" t="s">
        <v>93</v>
      </c>
      <c r="G26" s="50" t="s">
        <v>96</v>
      </c>
      <c r="H26" s="3"/>
      <c r="I26" s="3"/>
    </row>
    <row r="27" spans="1:9">
      <c r="A27" s="94" t="s">
        <v>97</v>
      </c>
      <c r="B27" s="94"/>
      <c r="C27" s="61"/>
      <c r="D27" s="51"/>
      <c r="E27" s="51"/>
      <c r="F27" s="51"/>
      <c r="G27" s="48"/>
      <c r="H27" s="3"/>
      <c r="I27" s="3"/>
    </row>
    <row r="28" spans="1:9">
      <c r="A28" s="32"/>
      <c r="B28" s="32"/>
      <c r="C28" s="51"/>
      <c r="D28" s="52" t="s">
        <v>106</v>
      </c>
      <c r="E28" s="51"/>
      <c r="F28" s="51"/>
      <c r="G28" s="48"/>
      <c r="H28" s="3"/>
      <c r="I28" s="3"/>
    </row>
    <row r="29" spans="1:9">
      <c r="A29" s="47"/>
      <c r="B29" s="32"/>
      <c r="C29" s="48"/>
      <c r="D29" s="48"/>
      <c r="E29" s="48"/>
      <c r="F29" s="48"/>
      <c r="G29" s="48"/>
      <c r="H29" s="3"/>
      <c r="I29" s="3"/>
    </row>
  </sheetData>
  <mergeCells count="24">
    <mergeCell ref="H4:I4"/>
    <mergeCell ref="H6:I6"/>
    <mergeCell ref="A13:F13"/>
    <mergeCell ref="A2:F2"/>
    <mergeCell ref="A4:A6"/>
    <mergeCell ref="B4:B6"/>
    <mergeCell ref="C4:G5"/>
    <mergeCell ref="C7:G7"/>
    <mergeCell ref="C8:G8"/>
    <mergeCell ref="C9:G9"/>
    <mergeCell ref="C10:G10"/>
    <mergeCell ref="A12:F12"/>
    <mergeCell ref="A22:B22"/>
    <mergeCell ref="A23:B23"/>
    <mergeCell ref="A26:B26"/>
    <mergeCell ref="A27:B27"/>
    <mergeCell ref="A14:F14"/>
    <mergeCell ref="A15:F15"/>
    <mergeCell ref="A16:F16"/>
    <mergeCell ref="A17:A20"/>
    <mergeCell ref="C17:D17"/>
    <mergeCell ref="C18:D18"/>
    <mergeCell ref="C19:D19"/>
    <mergeCell ref="C20:D2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작성법</vt:lpstr>
      <vt:lpstr>경비요청서_Care</vt:lpstr>
      <vt:lpstr>법인 지출내역서</vt:lpstr>
      <vt:lpstr>개인경비 지급요청서</vt:lpstr>
      <vt:lpstr>승인권자</vt:lpstr>
      <vt:lpstr>'개인경비 지급요청서'!Print_Area</vt:lpstr>
      <vt:lpstr>'법인 지출내역서'!Print_Area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 PAEK</dc:creator>
  <cp:lastModifiedBy>호민 석</cp:lastModifiedBy>
  <cp:lastPrinted>2024-05-07T07:53:26Z</cp:lastPrinted>
  <dcterms:created xsi:type="dcterms:W3CDTF">2024-02-27T07:53:54Z</dcterms:created>
  <dcterms:modified xsi:type="dcterms:W3CDTF">2026-03-05T14:43:21Z</dcterms:modified>
</cp:coreProperties>
</file>